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ndr\OneDrive\Documents\COURSES\ADD\"/>
    </mc:Choice>
  </mc:AlternateContent>
  <xr:revisionPtr revIDLastSave="0" documentId="13_ncr:1_{EF26BC8B-6EAB-40FB-BA6C-57B71751041F}" xr6:coauthVersionLast="47" xr6:coauthVersionMax="47" xr10:uidLastSave="{00000000-0000-0000-0000-000000000000}"/>
  <bookViews>
    <workbookView xWindow="-120" yWindow="-120" windowWidth="20730" windowHeight="11040" xr2:uid="{477CEF44-8CD7-4D8D-BBC4-5EC4A33DE850}"/>
  </bookViews>
  <sheets>
    <sheet name="Donnees" sheetId="2" r:id="rId1"/>
    <sheet name="Country-data" sheetId="4" r:id="rId2"/>
    <sheet name="data-dictionary" sheetId="5" r:id="rId3"/>
  </sheets>
  <definedNames>
    <definedName name="DonnéesExternes_1" localSheetId="1" hidden="1">'Country-data'!$A$1:$J$168</definedName>
    <definedName name="DonnéesExternes_1" localSheetId="2" hidden="1">'data-dictionary'!$A$1:$B$12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2" l="1"/>
  <c r="F29" i="2"/>
  <c r="F28" i="2"/>
  <c r="F27" i="2"/>
  <c r="F26" i="2"/>
  <c r="E30" i="2"/>
  <c r="E29" i="2"/>
  <c r="E28" i="2"/>
  <c r="E27" i="2"/>
  <c r="E26" i="2"/>
  <c r="D30" i="2"/>
  <c r="D29" i="2"/>
  <c r="D28" i="2"/>
  <c r="D27" i="2"/>
  <c r="D26" i="2"/>
  <c r="C30" i="2"/>
  <c r="C29" i="2"/>
  <c r="C28" i="2"/>
  <c r="C27" i="2"/>
  <c r="C26" i="2"/>
  <c r="B30" i="2"/>
  <c r="B29" i="2"/>
  <c r="B28" i="2"/>
  <c r="B27" i="2"/>
  <c r="B26" i="2"/>
  <c r="F22" i="2" l="1"/>
  <c r="F21" i="2"/>
  <c r="F20" i="2"/>
  <c r="F19" i="2"/>
  <c r="F18" i="2"/>
  <c r="E22" i="2"/>
  <c r="E21" i="2"/>
  <c r="E20" i="2"/>
  <c r="E19" i="2"/>
  <c r="E18" i="2"/>
  <c r="D22" i="2"/>
  <c r="D21" i="2"/>
  <c r="D20" i="2"/>
  <c r="D19" i="2"/>
  <c r="D18" i="2"/>
  <c r="C22" i="2"/>
  <c r="C21" i="2"/>
  <c r="C20" i="2"/>
  <c r="C19" i="2"/>
  <c r="C18" i="2"/>
  <c r="B22" i="2"/>
  <c r="B21" i="2"/>
  <c r="B20" i="2"/>
  <c r="B19" i="2"/>
  <c r="B18" i="2"/>
  <c r="L3" i="2"/>
  <c r="L5" i="2"/>
  <c r="L7" i="2"/>
  <c r="L9" i="2"/>
  <c r="J3" i="2"/>
  <c r="J7" i="2"/>
  <c r="J2" i="2"/>
  <c r="C13" i="2"/>
  <c r="D13" i="2"/>
  <c r="E13" i="2"/>
  <c r="F13" i="2"/>
  <c r="B13" i="2"/>
  <c r="D12" i="2"/>
  <c r="K4" i="2" s="1"/>
  <c r="E12" i="2"/>
  <c r="L2" i="2" s="1"/>
  <c r="F12" i="2"/>
  <c r="M3" i="2" s="1"/>
  <c r="C12" i="2"/>
  <c r="J4" i="2" s="1"/>
  <c r="B12" i="2"/>
  <c r="I6" i="2" s="1"/>
  <c r="I5" i="2" l="1"/>
  <c r="K3" i="2"/>
  <c r="I8" i="2"/>
  <c r="I4" i="2"/>
  <c r="J10" i="2"/>
  <c r="J6" i="2"/>
  <c r="K10" i="2"/>
  <c r="K6" i="2"/>
  <c r="M10" i="2"/>
  <c r="M8" i="2"/>
  <c r="M6" i="2"/>
  <c r="M4" i="2"/>
  <c r="M2" i="2"/>
  <c r="I2" i="2"/>
  <c r="I7" i="2"/>
  <c r="I3" i="2"/>
  <c r="J9" i="2"/>
  <c r="J5" i="2"/>
  <c r="K9" i="2"/>
  <c r="K5" i="2"/>
  <c r="L10" i="2"/>
  <c r="L8" i="2"/>
  <c r="L6" i="2"/>
  <c r="L4" i="2"/>
  <c r="I9" i="2"/>
  <c r="K7" i="2"/>
  <c r="I10" i="2"/>
  <c r="K2" i="2"/>
  <c r="J8" i="2"/>
  <c r="K8" i="2"/>
  <c r="M9" i="2"/>
  <c r="M7" i="2"/>
  <c r="M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614119-18FE-4495-9A6D-4145859466B4}" keepAlive="1" name="Requête - Country-data" description="Connexion à la requête « Country-data » dans le classeur." type="5" refreshedVersion="8" background="1" saveData="1">
    <dbPr connection="Provider=Microsoft.Mashup.OleDb.1;Data Source=$Workbook$;Location=Country-data;Extended Properties=&quot;&quot;" command="SELECT * FROM [Country-data]"/>
  </connection>
  <connection id="2" xr16:uid="{763BA934-DD01-4604-9FCD-B8FFFDEA47D4}" keepAlive="1" name="Requête - data-dictionary" description="Connexion à la requête « data-dictionary » dans le classeur." type="5" refreshedVersion="8" background="1" saveData="1">
    <dbPr connection="Provider=Microsoft.Mashup.OleDb.1;Data Source=$Workbook$;Location=data-dictionary;Extended Properties=&quot;&quot;" command="SELECT * FROM [data-dictionary]"/>
  </connection>
</connections>
</file>

<file path=xl/sharedStrings.xml><?xml version="1.0" encoding="utf-8"?>
<sst xmlns="http://schemas.openxmlformats.org/spreadsheetml/2006/main" count="1413" uniqueCount="1033">
  <si>
    <t>Français</t>
  </si>
  <si>
    <t>Musique</t>
  </si>
  <si>
    <t>Jean</t>
  </si>
  <si>
    <t>Aline</t>
  </si>
  <si>
    <t>Annie</t>
  </si>
  <si>
    <t>Monique</t>
  </si>
  <si>
    <t>Didier</t>
  </si>
  <si>
    <t>André</t>
  </si>
  <si>
    <t>Pierre</t>
  </si>
  <si>
    <t>Brigitte</t>
  </si>
  <si>
    <t>Evelyne</t>
  </si>
  <si>
    <t>Maths</t>
  </si>
  <si>
    <t>SVT</t>
  </si>
  <si>
    <t>Anglais</t>
  </si>
  <si>
    <t>country</t>
  </si>
  <si>
    <t>child_mort</t>
  </si>
  <si>
    <t>exports</t>
  </si>
  <si>
    <t>health</t>
  </si>
  <si>
    <t>imports</t>
  </si>
  <si>
    <t>income</t>
  </si>
  <si>
    <t>inflation</t>
  </si>
  <si>
    <t>life_expec</t>
  </si>
  <si>
    <t>total_fer</t>
  </si>
  <si>
    <t>gdpp</t>
  </si>
  <si>
    <t>Afghanistan</t>
  </si>
  <si>
    <t>90.2</t>
  </si>
  <si>
    <t>10</t>
  </si>
  <si>
    <t>7.58</t>
  </si>
  <si>
    <t>44.9</t>
  </si>
  <si>
    <t>9.44</t>
  </si>
  <si>
    <t>56.2</t>
  </si>
  <si>
    <t>5.82</t>
  </si>
  <si>
    <t>Albania</t>
  </si>
  <si>
    <t>16.6</t>
  </si>
  <si>
    <t>28</t>
  </si>
  <si>
    <t>6.55</t>
  </si>
  <si>
    <t>48.6</t>
  </si>
  <si>
    <t>4.49</t>
  </si>
  <si>
    <t>76.3</t>
  </si>
  <si>
    <t>1.65</t>
  </si>
  <si>
    <t>Algeria</t>
  </si>
  <si>
    <t>27.3</t>
  </si>
  <si>
    <t>38.4</t>
  </si>
  <si>
    <t>4.17</t>
  </si>
  <si>
    <t>31.4</t>
  </si>
  <si>
    <t>16.1</t>
  </si>
  <si>
    <t>76.5</t>
  </si>
  <si>
    <t>2.89</t>
  </si>
  <si>
    <t>Angola</t>
  </si>
  <si>
    <t>119</t>
  </si>
  <si>
    <t>62.3</t>
  </si>
  <si>
    <t>2.85</t>
  </si>
  <si>
    <t>42.9</t>
  </si>
  <si>
    <t>22.4</t>
  </si>
  <si>
    <t>60.1</t>
  </si>
  <si>
    <t>6.16</t>
  </si>
  <si>
    <t>Antigua and Barbuda</t>
  </si>
  <si>
    <t>10.3</t>
  </si>
  <si>
    <t>45.5</t>
  </si>
  <si>
    <t>6.03</t>
  </si>
  <si>
    <t>58.9</t>
  </si>
  <si>
    <t>1.44</t>
  </si>
  <si>
    <t>76.8</t>
  </si>
  <si>
    <t>2.13</t>
  </si>
  <si>
    <t>Argentina</t>
  </si>
  <si>
    <t>14.5</t>
  </si>
  <si>
    <t>18.9</t>
  </si>
  <si>
    <t>8.1</t>
  </si>
  <si>
    <t>16</t>
  </si>
  <si>
    <t>20.9</t>
  </si>
  <si>
    <t>75.8</t>
  </si>
  <si>
    <t>2.37</t>
  </si>
  <si>
    <t>Armenia</t>
  </si>
  <si>
    <t>18.1</t>
  </si>
  <si>
    <t>20.8</t>
  </si>
  <si>
    <t>4.4</t>
  </si>
  <si>
    <t>45.3</t>
  </si>
  <si>
    <t>7.77</t>
  </si>
  <si>
    <t>73.3</t>
  </si>
  <si>
    <t>1.69</t>
  </si>
  <si>
    <t>Australia</t>
  </si>
  <si>
    <t>4.8</t>
  </si>
  <si>
    <t>19.8</t>
  </si>
  <si>
    <t>8.73</t>
  </si>
  <si>
    <t>1.16</t>
  </si>
  <si>
    <t>82</t>
  </si>
  <si>
    <t>1.93</t>
  </si>
  <si>
    <t>Austria</t>
  </si>
  <si>
    <t>4.3</t>
  </si>
  <si>
    <t>51.3</t>
  </si>
  <si>
    <t>11</t>
  </si>
  <si>
    <t>47.8</t>
  </si>
  <si>
    <t>0.873</t>
  </si>
  <si>
    <t>80.5</t>
  </si>
  <si>
    <t>Azerbaijan</t>
  </si>
  <si>
    <t>39.2</t>
  </si>
  <si>
    <t>54.3</t>
  </si>
  <si>
    <t>5.88</t>
  </si>
  <si>
    <t>20.7</t>
  </si>
  <si>
    <t>13.8</t>
  </si>
  <si>
    <t>69.1</t>
  </si>
  <si>
    <t>1.92</t>
  </si>
  <si>
    <t>Bahamas</t>
  </si>
  <si>
    <t>35</t>
  </si>
  <si>
    <t>7.89</t>
  </si>
  <si>
    <t>43.7</t>
  </si>
  <si>
    <t>-0.393</t>
  </si>
  <si>
    <t>73.8</t>
  </si>
  <si>
    <t>1.86</t>
  </si>
  <si>
    <t>Bahrain</t>
  </si>
  <si>
    <t>8.6</t>
  </si>
  <si>
    <t>69.5</t>
  </si>
  <si>
    <t>4.97</t>
  </si>
  <si>
    <t>50.9</t>
  </si>
  <si>
    <t>7.44</t>
  </si>
  <si>
    <t>76</t>
  </si>
  <si>
    <t>2.16</t>
  </si>
  <si>
    <t>Bangladesh</t>
  </si>
  <si>
    <t>49.4</t>
  </si>
  <si>
    <t>3.52</t>
  </si>
  <si>
    <t>21.8</t>
  </si>
  <si>
    <t>7.14</t>
  </si>
  <si>
    <t>70.4</t>
  </si>
  <si>
    <t>2.33</t>
  </si>
  <si>
    <t>Barbados</t>
  </si>
  <si>
    <t>14.2</t>
  </si>
  <si>
    <t>39.5</t>
  </si>
  <si>
    <t>7.97</t>
  </si>
  <si>
    <t>48.7</t>
  </si>
  <si>
    <t>0.321</t>
  </si>
  <si>
    <t>76.7</t>
  </si>
  <si>
    <t>1.78</t>
  </si>
  <si>
    <t>Belarus</t>
  </si>
  <si>
    <t>5.5</t>
  </si>
  <si>
    <t>51.4</t>
  </si>
  <si>
    <t>5.61</t>
  </si>
  <si>
    <t>64.5</t>
  </si>
  <si>
    <t>15.1</t>
  </si>
  <si>
    <t>1.49</t>
  </si>
  <si>
    <t>Belgium</t>
  </si>
  <si>
    <t>4.5</t>
  </si>
  <si>
    <t>76.4</t>
  </si>
  <si>
    <t>10.7</t>
  </si>
  <si>
    <t>74.7</t>
  </si>
  <si>
    <t>1.88</t>
  </si>
  <si>
    <t>80</t>
  </si>
  <si>
    <t>Belize</t>
  </si>
  <si>
    <t>18.8</t>
  </si>
  <si>
    <t>58.2</t>
  </si>
  <si>
    <t>5.2</t>
  </si>
  <si>
    <t>57.5</t>
  </si>
  <si>
    <t>1.14</t>
  </si>
  <si>
    <t>71.4</t>
  </si>
  <si>
    <t>2.71</t>
  </si>
  <si>
    <t>Benin</t>
  </si>
  <si>
    <t>111</t>
  </si>
  <si>
    <t>23.8</t>
  </si>
  <si>
    <t>4.1</t>
  </si>
  <si>
    <t>37.2</t>
  </si>
  <si>
    <t>0.885</t>
  </si>
  <si>
    <t>61.8</t>
  </si>
  <si>
    <t>5.36</t>
  </si>
  <si>
    <t>Bhutan</t>
  </si>
  <si>
    <t>42.7</t>
  </si>
  <si>
    <t>42.5</t>
  </si>
  <si>
    <t>70.7</t>
  </si>
  <si>
    <t>5.99</t>
  </si>
  <si>
    <t>72.1</t>
  </si>
  <si>
    <t>2.38</t>
  </si>
  <si>
    <t>Bolivia</t>
  </si>
  <si>
    <t>46.6</t>
  </si>
  <si>
    <t>41.2</t>
  </si>
  <si>
    <t>4.84</t>
  </si>
  <si>
    <t>34.3</t>
  </si>
  <si>
    <t>8.78</t>
  </si>
  <si>
    <t>71.6</t>
  </si>
  <si>
    <t>3.2</t>
  </si>
  <si>
    <t>Bosnia and Herzegovina</t>
  </si>
  <si>
    <t>6.9</t>
  </si>
  <si>
    <t>29.7</t>
  </si>
  <si>
    <t>11.1</t>
  </si>
  <si>
    <t>1.4</t>
  </si>
  <si>
    <t>1.31</t>
  </si>
  <si>
    <t>Botswana</t>
  </si>
  <si>
    <t>52.5</t>
  </si>
  <si>
    <t>43.6</t>
  </si>
  <si>
    <t>8.3</t>
  </si>
  <si>
    <t>8.92</t>
  </si>
  <si>
    <t>57.1</t>
  </si>
  <si>
    <t>2.88</t>
  </si>
  <si>
    <t>Brazil</t>
  </si>
  <si>
    <t>9.01</t>
  </si>
  <si>
    <t>11.8</t>
  </si>
  <si>
    <t>8.41</t>
  </si>
  <si>
    <t>74.2</t>
  </si>
  <si>
    <t>1.8</t>
  </si>
  <si>
    <t>Brunei</t>
  </si>
  <si>
    <t>10.5</t>
  </si>
  <si>
    <t>67.4</t>
  </si>
  <si>
    <t>2.84</t>
  </si>
  <si>
    <t>16.7</t>
  </si>
  <si>
    <t>77.1</t>
  </si>
  <si>
    <t>1.84</t>
  </si>
  <si>
    <t>Bulgaria</t>
  </si>
  <si>
    <t>10.8</t>
  </si>
  <si>
    <t>50.2</t>
  </si>
  <si>
    <t>6.87</t>
  </si>
  <si>
    <t>53</t>
  </si>
  <si>
    <t>1.11</t>
  </si>
  <si>
    <t>73.9</t>
  </si>
  <si>
    <t>1.57</t>
  </si>
  <si>
    <t>Burkina Faso</t>
  </si>
  <si>
    <t>116</t>
  </si>
  <si>
    <t>19.2</t>
  </si>
  <si>
    <t>6.74</t>
  </si>
  <si>
    <t>29.6</t>
  </si>
  <si>
    <t>6.81</t>
  </si>
  <si>
    <t>57.9</t>
  </si>
  <si>
    <t>5.87</t>
  </si>
  <si>
    <t>Burundi</t>
  </si>
  <si>
    <t>93.6</t>
  </si>
  <si>
    <t>11.6</t>
  </si>
  <si>
    <t>12.3</t>
  </si>
  <si>
    <t>57.7</t>
  </si>
  <si>
    <t>6.26</t>
  </si>
  <si>
    <t>Cambodia</t>
  </si>
  <si>
    <t>44.4</t>
  </si>
  <si>
    <t>54.1</t>
  </si>
  <si>
    <t>5.68</t>
  </si>
  <si>
    <t>59.5</t>
  </si>
  <si>
    <t>3.12</t>
  </si>
  <si>
    <t>66.1</t>
  </si>
  <si>
    <t>Cameroon</t>
  </si>
  <si>
    <t>108</t>
  </si>
  <si>
    <t>22.2</t>
  </si>
  <si>
    <t>5.13</t>
  </si>
  <si>
    <t>27</t>
  </si>
  <si>
    <t>1.91</t>
  </si>
  <si>
    <t>57.3</t>
  </si>
  <si>
    <t>5.11</t>
  </si>
  <si>
    <t>Canada</t>
  </si>
  <si>
    <t>5.6</t>
  </si>
  <si>
    <t>29.1</t>
  </si>
  <si>
    <t>11.3</t>
  </si>
  <si>
    <t>31</t>
  </si>
  <si>
    <t>2.87</t>
  </si>
  <si>
    <t>81.3</t>
  </si>
  <si>
    <t>1.63</t>
  </si>
  <si>
    <t>Cape Verde</t>
  </si>
  <si>
    <t>26.5</t>
  </si>
  <si>
    <t>32.7</t>
  </si>
  <si>
    <t>4.09</t>
  </si>
  <si>
    <t>0.505</t>
  </si>
  <si>
    <t>72.5</t>
  </si>
  <si>
    <t>2.67</t>
  </si>
  <si>
    <t>Central African Republic</t>
  </si>
  <si>
    <t>149</t>
  </si>
  <si>
    <t>3.98</t>
  </si>
  <si>
    <t>2.01</t>
  </si>
  <si>
    <t>47.5</t>
  </si>
  <si>
    <t>5.21</t>
  </si>
  <si>
    <t>Chad</t>
  </si>
  <si>
    <t>150</t>
  </si>
  <si>
    <t>36.8</t>
  </si>
  <si>
    <t>4.53</t>
  </si>
  <si>
    <t>43.5</t>
  </si>
  <si>
    <t>6.39</t>
  </si>
  <si>
    <t>56.5</t>
  </si>
  <si>
    <t>6.59</t>
  </si>
  <si>
    <t>Chile</t>
  </si>
  <si>
    <t>8.7</t>
  </si>
  <si>
    <t>37.7</t>
  </si>
  <si>
    <t>7.96</t>
  </si>
  <si>
    <t>31.3</t>
  </si>
  <si>
    <t>8.96</t>
  </si>
  <si>
    <t>79.1</t>
  </si>
  <si>
    <t>China</t>
  </si>
  <si>
    <t>15.7</t>
  </si>
  <si>
    <t>26.3</t>
  </si>
  <si>
    <t>5.07</t>
  </si>
  <si>
    <t>22.6</t>
  </si>
  <si>
    <t>6.94</t>
  </si>
  <si>
    <t>74.6</t>
  </si>
  <si>
    <t>1.59</t>
  </si>
  <si>
    <t>Colombia</t>
  </si>
  <si>
    <t>18.6</t>
  </si>
  <si>
    <t>15.9</t>
  </si>
  <si>
    <t>7.59</t>
  </si>
  <si>
    <t>17.8</t>
  </si>
  <si>
    <t>3.86</t>
  </si>
  <si>
    <t>Comoros</t>
  </si>
  <si>
    <t>88.2</t>
  </si>
  <si>
    <t>16.5</t>
  </si>
  <si>
    <t>4.51</t>
  </si>
  <si>
    <t>51.7</t>
  </si>
  <si>
    <t>3.87</t>
  </si>
  <si>
    <t>65.9</t>
  </si>
  <si>
    <t>4.75</t>
  </si>
  <si>
    <t>Congo, Dem. Rep.</t>
  </si>
  <si>
    <t>41.1</t>
  </si>
  <si>
    <t>7.91</t>
  </si>
  <si>
    <t>49.6</t>
  </si>
  <si>
    <t>6.54</t>
  </si>
  <si>
    <t>Congo, Rep.</t>
  </si>
  <si>
    <t>63.9</t>
  </si>
  <si>
    <t>85.1</t>
  </si>
  <si>
    <t>2.46</t>
  </si>
  <si>
    <t>54.7</t>
  </si>
  <si>
    <t>60.4</t>
  </si>
  <si>
    <t>4.95</t>
  </si>
  <si>
    <t>Costa Rica</t>
  </si>
  <si>
    <t>10.2</t>
  </si>
  <si>
    <t>33.2</t>
  </si>
  <si>
    <t>10.9</t>
  </si>
  <si>
    <t>6.57</t>
  </si>
  <si>
    <t>80.4</t>
  </si>
  <si>
    <t>Cote d'Ivoire</t>
  </si>
  <si>
    <t>50.6</t>
  </si>
  <si>
    <t>5.3</t>
  </si>
  <si>
    <t>43.3</t>
  </si>
  <si>
    <t>5.39</t>
  </si>
  <si>
    <t>56.3</t>
  </si>
  <si>
    <t>5.27</t>
  </si>
  <si>
    <t>Croatia</t>
  </si>
  <si>
    <t>37.6</t>
  </si>
  <si>
    <t>7.76</t>
  </si>
  <si>
    <t>38.1</t>
  </si>
  <si>
    <t>0.821</t>
  </si>
  <si>
    <t>1.55</t>
  </si>
  <si>
    <t>Cyprus</t>
  </si>
  <si>
    <t>3.6</t>
  </si>
  <si>
    <t>5.97</t>
  </si>
  <si>
    <t>79.9</t>
  </si>
  <si>
    <t>1.42</t>
  </si>
  <si>
    <t>Czech Republic</t>
  </si>
  <si>
    <t>3.4</t>
  </si>
  <si>
    <t>66</t>
  </si>
  <si>
    <t>7.88</t>
  </si>
  <si>
    <t>62.9</t>
  </si>
  <si>
    <t>-1.43</t>
  </si>
  <si>
    <t>77.5</t>
  </si>
  <si>
    <t>1.51</t>
  </si>
  <si>
    <t>Denmark</t>
  </si>
  <si>
    <t>50.5</t>
  </si>
  <si>
    <t>11.4</t>
  </si>
  <si>
    <t>3.22</t>
  </si>
  <si>
    <t>79.5</t>
  </si>
  <si>
    <t>1.87</t>
  </si>
  <si>
    <t>Dominican Republic</t>
  </si>
  <si>
    <t>34.4</t>
  </si>
  <si>
    <t>22.7</t>
  </si>
  <si>
    <t>6.22</t>
  </si>
  <si>
    <t>33.3</t>
  </si>
  <si>
    <t>5.44</t>
  </si>
  <si>
    <t>2.6</t>
  </si>
  <si>
    <t>Ecuador</t>
  </si>
  <si>
    <t>25.1</t>
  </si>
  <si>
    <t>27.9</t>
  </si>
  <si>
    <t>8.06</t>
  </si>
  <si>
    <t>32.4</t>
  </si>
  <si>
    <t>7.47</t>
  </si>
  <si>
    <t>2.66</t>
  </si>
  <si>
    <t>Egypt</t>
  </si>
  <si>
    <t>21.3</t>
  </si>
  <si>
    <t>4.66</t>
  </si>
  <si>
    <t>26.6</t>
  </si>
  <si>
    <t>10.1</t>
  </si>
  <si>
    <t>70.5</t>
  </si>
  <si>
    <t>3.19</t>
  </si>
  <si>
    <t>El Salvador</t>
  </si>
  <si>
    <t>26.9</t>
  </si>
  <si>
    <t>6.91</t>
  </si>
  <si>
    <t>2.65</t>
  </si>
  <si>
    <t>74.1</t>
  </si>
  <si>
    <t>2.27</t>
  </si>
  <si>
    <t>Equatorial Guinea</t>
  </si>
  <si>
    <t>85.8</t>
  </si>
  <si>
    <t>4.48</t>
  </si>
  <si>
    <t>24.9</t>
  </si>
  <si>
    <t>60.9</t>
  </si>
  <si>
    <t>Eritrea</t>
  </si>
  <si>
    <t>55.2</t>
  </si>
  <si>
    <t>4.79</t>
  </si>
  <si>
    <t>23.3</t>
  </si>
  <si>
    <t>61.7</t>
  </si>
  <si>
    <t>4.61</t>
  </si>
  <si>
    <t>Estonia</t>
  </si>
  <si>
    <t>75.1</t>
  </si>
  <si>
    <t>68.7</t>
  </si>
  <si>
    <t>1.74</t>
  </si>
  <si>
    <t>1.72</t>
  </si>
  <si>
    <t>Fiji</t>
  </si>
  <si>
    <t>24.1</t>
  </si>
  <si>
    <t>57.8</t>
  </si>
  <si>
    <t>4.86</t>
  </si>
  <si>
    <t>4.23</t>
  </si>
  <si>
    <t>65.3</t>
  </si>
  <si>
    <t>Finland</t>
  </si>
  <si>
    <t>3</t>
  </si>
  <si>
    <t>38.7</t>
  </si>
  <si>
    <t>8.95</t>
  </si>
  <si>
    <t>37.4</t>
  </si>
  <si>
    <t>0.351</t>
  </si>
  <si>
    <t>France</t>
  </si>
  <si>
    <t>4.2</t>
  </si>
  <si>
    <t>26.8</t>
  </si>
  <si>
    <t>11.9</t>
  </si>
  <si>
    <t>28.1</t>
  </si>
  <si>
    <t>1.05</t>
  </si>
  <si>
    <t>81.4</t>
  </si>
  <si>
    <t>2.03</t>
  </si>
  <si>
    <t>Gabon</t>
  </si>
  <si>
    <t>63.7</t>
  </si>
  <si>
    <t>3.5</t>
  </si>
  <si>
    <t>4.08</t>
  </si>
  <si>
    <t>Gambia</t>
  </si>
  <si>
    <t>80.3</t>
  </si>
  <si>
    <t>5.69</t>
  </si>
  <si>
    <t>65.5</t>
  </si>
  <si>
    <t>5.71</t>
  </si>
  <si>
    <t>Georgia</t>
  </si>
  <si>
    <t>52.8</t>
  </si>
  <si>
    <t>8.55</t>
  </si>
  <si>
    <t>72.8</t>
  </si>
  <si>
    <t>Germany</t>
  </si>
  <si>
    <t>42.3</t>
  </si>
  <si>
    <t>37.1</t>
  </si>
  <si>
    <t>0.758</t>
  </si>
  <si>
    <t>80.1</t>
  </si>
  <si>
    <t>1.39</t>
  </si>
  <si>
    <t>Ghana</t>
  </si>
  <si>
    <t>29.5</t>
  </si>
  <si>
    <t>5.22</t>
  </si>
  <si>
    <t>45.9</t>
  </si>
  <si>
    <t>62.2</t>
  </si>
  <si>
    <t>4.27</t>
  </si>
  <si>
    <t>Greece</t>
  </si>
  <si>
    <t>3.9</t>
  </si>
  <si>
    <t>22.1</t>
  </si>
  <si>
    <t>30.7</t>
  </si>
  <si>
    <t>0.673</t>
  </si>
  <si>
    <t>1.48</t>
  </si>
  <si>
    <t>Grenada</t>
  </si>
  <si>
    <t>14.6</t>
  </si>
  <si>
    <t>5.86</t>
  </si>
  <si>
    <t>49.2</t>
  </si>
  <si>
    <t>0.48</t>
  </si>
  <si>
    <t>71.3</t>
  </si>
  <si>
    <t>2.24</t>
  </si>
  <si>
    <t>Guatemala</t>
  </si>
  <si>
    <t>35.4</t>
  </si>
  <si>
    <t>25.8</t>
  </si>
  <si>
    <t>6.85</t>
  </si>
  <si>
    <t>36.3</t>
  </si>
  <si>
    <t>5.14</t>
  </si>
  <si>
    <t>3.38</t>
  </si>
  <si>
    <t>Guinea</t>
  </si>
  <si>
    <t>109</t>
  </si>
  <si>
    <t>30.3</t>
  </si>
  <si>
    <t>4.93</t>
  </si>
  <si>
    <t>43.2</t>
  </si>
  <si>
    <t>58</t>
  </si>
  <si>
    <t>5.34</t>
  </si>
  <si>
    <t>Guinea-Bissau</t>
  </si>
  <si>
    <t>114</t>
  </si>
  <si>
    <t>14.9</t>
  </si>
  <si>
    <t>8.5</t>
  </si>
  <si>
    <t>35.2</t>
  </si>
  <si>
    <t>2.97</t>
  </si>
  <si>
    <t>55.6</t>
  </si>
  <si>
    <t>5.05</t>
  </si>
  <si>
    <t>Guyana</t>
  </si>
  <si>
    <t>5.38</t>
  </si>
  <si>
    <t>5.73</t>
  </si>
  <si>
    <t>Haiti</t>
  </si>
  <si>
    <t>208</t>
  </si>
  <si>
    <t>15.3</t>
  </si>
  <si>
    <t>64.7</t>
  </si>
  <si>
    <t>5.45</t>
  </si>
  <si>
    <t>32.1</t>
  </si>
  <si>
    <t>3.33</t>
  </si>
  <si>
    <t>Hungary</t>
  </si>
  <si>
    <t>6</t>
  </si>
  <si>
    <t>81.8</t>
  </si>
  <si>
    <t>7.33</t>
  </si>
  <si>
    <t>74.5</t>
  </si>
  <si>
    <t>1.25</t>
  </si>
  <si>
    <t>Iceland</t>
  </si>
  <si>
    <t>53.4</t>
  </si>
  <si>
    <t>9.4</t>
  </si>
  <si>
    <t>5.47</t>
  </si>
  <si>
    <t>2.2</t>
  </si>
  <si>
    <t>India</t>
  </si>
  <si>
    <t>58.8</t>
  </si>
  <si>
    <t>4.05</t>
  </si>
  <si>
    <t>27.1</t>
  </si>
  <si>
    <t>8.98</t>
  </si>
  <si>
    <t>66.2</t>
  </si>
  <si>
    <t>Indonesia</t>
  </si>
  <si>
    <t>24.3</t>
  </si>
  <si>
    <t>2.61</t>
  </si>
  <si>
    <t>69.9</t>
  </si>
  <si>
    <t>2.48</t>
  </si>
  <si>
    <t>Iran</t>
  </si>
  <si>
    <t>19.3</t>
  </si>
  <si>
    <t>24.4</t>
  </si>
  <si>
    <t>19.4</t>
  </si>
  <si>
    <t>1.76</t>
  </si>
  <si>
    <t>Iraq</t>
  </si>
  <si>
    <t>36.9</t>
  </si>
  <si>
    <t>39.4</t>
  </si>
  <si>
    <t>34.1</t>
  </si>
  <si>
    <t>67.2</t>
  </si>
  <si>
    <t>4.56</t>
  </si>
  <si>
    <t>Ireland</t>
  </si>
  <si>
    <t>103</t>
  </si>
  <si>
    <t>9.19</t>
  </si>
  <si>
    <t>86.5</t>
  </si>
  <si>
    <t>-3.22</t>
  </si>
  <si>
    <t>2.05</t>
  </si>
  <si>
    <t>Israel</t>
  </si>
  <si>
    <t>4.6</t>
  </si>
  <si>
    <t>7.63</t>
  </si>
  <si>
    <t>32.9</t>
  </si>
  <si>
    <t>1.77</t>
  </si>
  <si>
    <t>3.03</t>
  </si>
  <si>
    <t>Italy</t>
  </si>
  <si>
    <t>4</t>
  </si>
  <si>
    <t>25.2</t>
  </si>
  <si>
    <t>9.53</t>
  </si>
  <si>
    <t>27.2</t>
  </si>
  <si>
    <t>0.319</t>
  </si>
  <si>
    <t>81.7</t>
  </si>
  <si>
    <t>1.46</t>
  </si>
  <si>
    <t>Jamaica</t>
  </si>
  <si>
    <t>4.81</t>
  </si>
  <si>
    <t>9.81</t>
  </si>
  <si>
    <t>2.17</t>
  </si>
  <si>
    <t>Japan</t>
  </si>
  <si>
    <t>15</t>
  </si>
  <si>
    <t>9.49</t>
  </si>
  <si>
    <t>13.6</t>
  </si>
  <si>
    <t>-1.9</t>
  </si>
  <si>
    <t>82.8</t>
  </si>
  <si>
    <t>Jordan</t>
  </si>
  <si>
    <t>21.1</t>
  </si>
  <si>
    <t>48.3</t>
  </si>
  <si>
    <t>8.04</t>
  </si>
  <si>
    <t>69</t>
  </si>
  <si>
    <t>8.43</t>
  </si>
  <si>
    <t>3.66</t>
  </si>
  <si>
    <t>Kazakhstan</t>
  </si>
  <si>
    <t>21.5</t>
  </si>
  <si>
    <t>44.2</t>
  </si>
  <si>
    <t>4.29</t>
  </si>
  <si>
    <t>29.9</t>
  </si>
  <si>
    <t>19.5</t>
  </si>
  <si>
    <t>68.4</t>
  </si>
  <si>
    <t>Kenya</t>
  </si>
  <si>
    <t>33.6</t>
  </si>
  <si>
    <t>2.09</t>
  </si>
  <si>
    <t>62.8</t>
  </si>
  <si>
    <t>4.37</t>
  </si>
  <si>
    <t>Kiribati</t>
  </si>
  <si>
    <t>62.7</t>
  </si>
  <si>
    <t>13.3</t>
  </si>
  <si>
    <t>1.52</t>
  </si>
  <si>
    <t>60.7</t>
  </si>
  <si>
    <t>3.84</t>
  </si>
  <si>
    <t>Kuwait</t>
  </si>
  <si>
    <t>66.7</t>
  </si>
  <si>
    <t>2.63</t>
  </si>
  <si>
    <t>30.4</t>
  </si>
  <si>
    <t>11.2</t>
  </si>
  <si>
    <t>78.2</t>
  </si>
  <si>
    <t>2.21</t>
  </si>
  <si>
    <t>Kyrgyz Republic</t>
  </si>
  <si>
    <t>51.6</t>
  </si>
  <si>
    <t>6.18</t>
  </si>
  <si>
    <t>68.5</t>
  </si>
  <si>
    <t>3.1</t>
  </si>
  <si>
    <t>Lao</t>
  </si>
  <si>
    <t>78.9</t>
  </si>
  <si>
    <t>4.47</t>
  </si>
  <si>
    <t>49.3</t>
  </si>
  <si>
    <t>9.2</t>
  </si>
  <si>
    <t>63.8</t>
  </si>
  <si>
    <t>3.15</t>
  </si>
  <si>
    <t>Latvia</t>
  </si>
  <si>
    <t>7.8</t>
  </si>
  <si>
    <t>53.7</t>
  </si>
  <si>
    <t>6.68</t>
  </si>
  <si>
    <t>55.1</t>
  </si>
  <si>
    <t>-0.812</t>
  </si>
  <si>
    <t>73.1</t>
  </si>
  <si>
    <t>1.36</t>
  </si>
  <si>
    <t>Lebanon</t>
  </si>
  <si>
    <t>35.8</t>
  </si>
  <si>
    <t>7.03</t>
  </si>
  <si>
    <t>60.2</t>
  </si>
  <si>
    <t>0.238</t>
  </si>
  <si>
    <t>79.8</t>
  </si>
  <si>
    <t>1.61</t>
  </si>
  <si>
    <t>Lesotho</t>
  </si>
  <si>
    <t>99.7</t>
  </si>
  <si>
    <t>101</t>
  </si>
  <si>
    <t>4.15</t>
  </si>
  <si>
    <t>46.5</t>
  </si>
  <si>
    <t>3.3</t>
  </si>
  <si>
    <t>Liberia</t>
  </si>
  <si>
    <t>89.3</t>
  </si>
  <si>
    <t>19.1</t>
  </si>
  <si>
    <t>92.6</t>
  </si>
  <si>
    <t>60.8</t>
  </si>
  <si>
    <t>5.02</t>
  </si>
  <si>
    <t>Libya</t>
  </si>
  <si>
    <t>65.6</t>
  </si>
  <si>
    <t>3.88</t>
  </si>
  <si>
    <t>42.1</t>
  </si>
  <si>
    <t>76.1</t>
  </si>
  <si>
    <t>2.41</t>
  </si>
  <si>
    <t>Lithuania</t>
  </si>
  <si>
    <t>6.1</t>
  </si>
  <si>
    <t>7.04</t>
  </si>
  <si>
    <t>73.2</t>
  </si>
  <si>
    <t>1.5</t>
  </si>
  <si>
    <t>Luxembourg</t>
  </si>
  <si>
    <t>2.8</t>
  </si>
  <si>
    <t>175</t>
  </si>
  <si>
    <t>142</t>
  </si>
  <si>
    <t>3.62</t>
  </si>
  <si>
    <t>Macedonia, FYR</t>
  </si>
  <si>
    <t>10.4</t>
  </si>
  <si>
    <t>39.8</t>
  </si>
  <si>
    <t>7.09</t>
  </si>
  <si>
    <t>58.1</t>
  </si>
  <si>
    <t>2.04</t>
  </si>
  <si>
    <t>74</t>
  </si>
  <si>
    <t>1.47</t>
  </si>
  <si>
    <t>Madagascar</t>
  </si>
  <si>
    <t>25</t>
  </si>
  <si>
    <t>3.77</t>
  </si>
  <si>
    <t>43</t>
  </si>
  <si>
    <t>8.79</t>
  </si>
  <si>
    <t>Malawi</t>
  </si>
  <si>
    <t>90.5</t>
  </si>
  <si>
    <t>22.8</t>
  </si>
  <si>
    <t>34.9</t>
  </si>
  <si>
    <t>12.1</t>
  </si>
  <si>
    <t>53.1</t>
  </si>
  <si>
    <t>5.31</t>
  </si>
  <si>
    <t>Malaysia</t>
  </si>
  <si>
    <t>7.9</t>
  </si>
  <si>
    <t>86.9</t>
  </si>
  <si>
    <t>4.39</t>
  </si>
  <si>
    <t>71</t>
  </si>
  <si>
    <t>7.27</t>
  </si>
  <si>
    <t>2.15</t>
  </si>
  <si>
    <t>Maldives</t>
  </si>
  <si>
    <t>13.2</t>
  </si>
  <si>
    <t>77.6</t>
  </si>
  <si>
    <t>6.33</t>
  </si>
  <si>
    <t>65.4</t>
  </si>
  <si>
    <t>77.9</t>
  </si>
  <si>
    <t>2.23</t>
  </si>
  <si>
    <t>Mali</t>
  </si>
  <si>
    <t>137</t>
  </si>
  <si>
    <t>4.98</t>
  </si>
  <si>
    <t>35.1</t>
  </si>
  <si>
    <t>Malta</t>
  </si>
  <si>
    <t>6.8</t>
  </si>
  <si>
    <t>153</t>
  </si>
  <si>
    <t>8.65</t>
  </si>
  <si>
    <t>154</t>
  </si>
  <si>
    <t>3.83</t>
  </si>
  <si>
    <t>Mauritania</t>
  </si>
  <si>
    <t>97.4</t>
  </si>
  <si>
    <t>50.7</t>
  </si>
  <si>
    <t>4.41</t>
  </si>
  <si>
    <t>61.2</t>
  </si>
  <si>
    <t>68.2</t>
  </si>
  <si>
    <t>Mauritius</t>
  </si>
  <si>
    <t>51.2</t>
  </si>
  <si>
    <t>1.13</t>
  </si>
  <si>
    <t>73.4</t>
  </si>
  <si>
    <t>Micronesia, Fed. Sts.</t>
  </si>
  <si>
    <t>40</t>
  </si>
  <si>
    <t>23.5</t>
  </si>
  <si>
    <t>81</t>
  </si>
  <si>
    <t>3.8</t>
  </si>
  <si>
    <t>3.46</t>
  </si>
  <si>
    <t>Moldova</t>
  </si>
  <si>
    <t>17.2</t>
  </si>
  <si>
    <t>11.7</t>
  </si>
  <si>
    <t>78.5</t>
  </si>
  <si>
    <t>69.7</t>
  </si>
  <si>
    <t>1.27</t>
  </si>
  <si>
    <t>Mongolia</t>
  </si>
  <si>
    <t>26.1</t>
  </si>
  <si>
    <t>46.7</t>
  </si>
  <si>
    <t>56.7</t>
  </si>
  <si>
    <t>2.64</t>
  </si>
  <si>
    <t>Montenegro</t>
  </si>
  <si>
    <t>37</t>
  </si>
  <si>
    <t>9.11</t>
  </si>
  <si>
    <t>1.6</t>
  </si>
  <si>
    <t>Morocco</t>
  </si>
  <si>
    <t>33.5</t>
  </si>
  <si>
    <t>32.2</t>
  </si>
  <si>
    <t>0.976</t>
  </si>
  <si>
    <t>73.5</t>
  </si>
  <si>
    <t>2.58</t>
  </si>
  <si>
    <t>Mozambique</t>
  </si>
  <si>
    <t>31.5</t>
  </si>
  <si>
    <t>46.2</t>
  </si>
  <si>
    <t>7.64</t>
  </si>
  <si>
    <t>54.5</t>
  </si>
  <si>
    <t>5.56</t>
  </si>
  <si>
    <t>Myanmar</t>
  </si>
  <si>
    <t>64.4</t>
  </si>
  <si>
    <t>0.109</t>
  </si>
  <si>
    <t>1.97</t>
  </si>
  <si>
    <t>0.0659</t>
  </si>
  <si>
    <t>66.8</t>
  </si>
  <si>
    <t>Namibia</t>
  </si>
  <si>
    <t>56</t>
  </si>
  <si>
    <t>6.78</t>
  </si>
  <si>
    <t>3.56</t>
  </si>
  <si>
    <t>58.6</t>
  </si>
  <si>
    <t>Nepal</t>
  </si>
  <si>
    <t>47</t>
  </si>
  <si>
    <t>9.58</t>
  </si>
  <si>
    <t>5.25</t>
  </si>
  <si>
    <t>36.4</t>
  </si>
  <si>
    <t>68.3</t>
  </si>
  <si>
    <t>Netherlands</t>
  </si>
  <si>
    <t>72</t>
  </si>
  <si>
    <t>63.6</t>
  </si>
  <si>
    <t>0.848</t>
  </si>
  <si>
    <t>80.7</t>
  </si>
  <si>
    <t>1.79</t>
  </si>
  <si>
    <t>New Zealand</t>
  </si>
  <si>
    <t>6.2</t>
  </si>
  <si>
    <t>3.73</t>
  </si>
  <si>
    <t>80.9</t>
  </si>
  <si>
    <t>Niger</t>
  </si>
  <si>
    <t>123</t>
  </si>
  <si>
    <t>5.16</t>
  </si>
  <si>
    <t>49.1</t>
  </si>
  <si>
    <t>2.55</t>
  </si>
  <si>
    <t>7.49</t>
  </si>
  <si>
    <t>Nigeria</t>
  </si>
  <si>
    <t>130</t>
  </si>
  <si>
    <t>25.3</t>
  </si>
  <si>
    <t>17.4</t>
  </si>
  <si>
    <t>104</t>
  </si>
  <si>
    <t>60.5</t>
  </si>
  <si>
    <t>5.84</t>
  </si>
  <si>
    <t>Norway</t>
  </si>
  <si>
    <t>39.7</t>
  </si>
  <si>
    <t>9.48</t>
  </si>
  <si>
    <t>28.5</t>
  </si>
  <si>
    <t>5.95</t>
  </si>
  <si>
    <t>1.95</t>
  </si>
  <si>
    <t>Oman</t>
  </si>
  <si>
    <t>65.7</t>
  </si>
  <si>
    <t>2.77</t>
  </si>
  <si>
    <t>15.6</t>
  </si>
  <si>
    <t>2.9</t>
  </si>
  <si>
    <t>Pakistan</t>
  </si>
  <si>
    <t>92.1</t>
  </si>
  <si>
    <t>13.5</t>
  </si>
  <si>
    <t>3.85</t>
  </si>
  <si>
    <t>Panama</t>
  </si>
  <si>
    <t>19.7</t>
  </si>
  <si>
    <t>70</t>
  </si>
  <si>
    <t>2.59</t>
  </si>
  <si>
    <t>77.8</t>
  </si>
  <si>
    <t>2.62</t>
  </si>
  <si>
    <t>Paraguay</t>
  </si>
  <si>
    <t>51.5</t>
  </si>
  <si>
    <t>2.73</t>
  </si>
  <si>
    <t>Peru</t>
  </si>
  <si>
    <t>20.3</t>
  </si>
  <si>
    <t>27.8</t>
  </si>
  <si>
    <t>5.08</t>
  </si>
  <si>
    <t>2.54</t>
  </si>
  <si>
    <t>Philippines</t>
  </si>
  <si>
    <t>31.9</t>
  </si>
  <si>
    <t>34.8</t>
  </si>
  <si>
    <t>3.61</t>
  </si>
  <si>
    <t>36.6</t>
  </si>
  <si>
    <t>4.22</t>
  </si>
  <si>
    <t>3.16</t>
  </si>
  <si>
    <t>Poland</t>
  </si>
  <si>
    <t>40.1</t>
  </si>
  <si>
    <t>7.46</t>
  </si>
  <si>
    <t>1.66</t>
  </si>
  <si>
    <t>1.41</t>
  </si>
  <si>
    <t>Portugal</t>
  </si>
  <si>
    <t>0.643</t>
  </si>
  <si>
    <t>Qatar</t>
  </si>
  <si>
    <t>9</t>
  </si>
  <si>
    <t>1.81</t>
  </si>
  <si>
    <t>6.98</t>
  </si>
  <si>
    <t>2.07</t>
  </si>
  <si>
    <t>Romania</t>
  </si>
  <si>
    <t>11.5</t>
  </si>
  <si>
    <t>32.6</t>
  </si>
  <si>
    <t>5.58</t>
  </si>
  <si>
    <t>38.8</t>
  </si>
  <si>
    <t>3.53</t>
  </si>
  <si>
    <t>73.7</t>
  </si>
  <si>
    <t>Russia</t>
  </si>
  <si>
    <t>29.2</t>
  </si>
  <si>
    <t>69.2</t>
  </si>
  <si>
    <t>Rwanda</t>
  </si>
  <si>
    <t>12</t>
  </si>
  <si>
    <t>30</t>
  </si>
  <si>
    <t>64.6</t>
  </si>
  <si>
    <t>Samoa</t>
  </si>
  <si>
    <t>6.47</t>
  </si>
  <si>
    <t>71.5</t>
  </si>
  <si>
    <t>4.34</t>
  </si>
  <si>
    <t>Saudi Arabia</t>
  </si>
  <si>
    <t>33</t>
  </si>
  <si>
    <t>2.96</t>
  </si>
  <si>
    <t>Senegal</t>
  </si>
  <si>
    <t>5.66</t>
  </si>
  <si>
    <t>40.3</t>
  </si>
  <si>
    <t>1.85</t>
  </si>
  <si>
    <t>64</t>
  </si>
  <si>
    <t>5.06</t>
  </si>
  <si>
    <t>Serbia</t>
  </si>
  <si>
    <t>7.6</t>
  </si>
  <si>
    <t>47.9</t>
  </si>
  <si>
    <t>Seychelles</t>
  </si>
  <si>
    <t>14.4</t>
  </si>
  <si>
    <t>93.8</t>
  </si>
  <si>
    <t>-4.21</t>
  </si>
  <si>
    <t>Sierra Leone</t>
  </si>
  <si>
    <t>160</t>
  </si>
  <si>
    <t>16.8</t>
  </si>
  <si>
    <t>13.1</t>
  </si>
  <si>
    <t>34.5</t>
  </si>
  <si>
    <t>55</t>
  </si>
  <si>
    <t>Singapore</t>
  </si>
  <si>
    <t>200</t>
  </si>
  <si>
    <t>3.96</t>
  </si>
  <si>
    <t>174</t>
  </si>
  <si>
    <t>-0.046</t>
  </si>
  <si>
    <t>82.7</t>
  </si>
  <si>
    <t>1.15</t>
  </si>
  <si>
    <t>Slovak Republic</t>
  </si>
  <si>
    <t>7</t>
  </si>
  <si>
    <t>0.485</t>
  </si>
  <si>
    <t>75.5</t>
  </si>
  <si>
    <t>1.43</t>
  </si>
  <si>
    <t>Slovenia</t>
  </si>
  <si>
    <t>64.3</t>
  </si>
  <si>
    <t>9.41</t>
  </si>
  <si>
    <t>-0.987</t>
  </si>
  <si>
    <t>Solomon Islands</t>
  </si>
  <si>
    <t>81.2</t>
  </si>
  <si>
    <t>4.24</t>
  </si>
  <si>
    <t>South Africa</t>
  </si>
  <si>
    <t>28.6</t>
  </si>
  <si>
    <t>8.94</t>
  </si>
  <si>
    <t>27.4</t>
  </si>
  <si>
    <t>6.35</t>
  </si>
  <si>
    <t>South Korea</t>
  </si>
  <si>
    <t>6.93</t>
  </si>
  <si>
    <t>1.23</t>
  </si>
  <si>
    <t>Spain</t>
  </si>
  <si>
    <t>25.5</t>
  </si>
  <si>
    <t>9.54</t>
  </si>
  <si>
    <t>0.16</t>
  </si>
  <si>
    <t>81.9</t>
  </si>
  <si>
    <t>1.37</t>
  </si>
  <si>
    <t>Sri Lanka</t>
  </si>
  <si>
    <t>19.6</t>
  </si>
  <si>
    <t>2.94</t>
  </si>
  <si>
    <t>74.4</t>
  </si>
  <si>
    <t>St. Vincent and the Grenadines</t>
  </si>
  <si>
    <t>4.44</t>
  </si>
  <si>
    <t>Sudan</t>
  </si>
  <si>
    <t>6.32</t>
  </si>
  <si>
    <t>66.3</t>
  </si>
  <si>
    <t>4.88</t>
  </si>
  <si>
    <t>Suriname</t>
  </si>
  <si>
    <t>7.01</t>
  </si>
  <si>
    <t>7.2</t>
  </si>
  <si>
    <t>70.3</t>
  </si>
  <si>
    <t>2.52</t>
  </si>
  <si>
    <t>Sweden</t>
  </si>
  <si>
    <t>9.63</t>
  </si>
  <si>
    <t>40.7</t>
  </si>
  <si>
    <t>0.991</t>
  </si>
  <si>
    <t>81.5</t>
  </si>
  <si>
    <t>1.98</t>
  </si>
  <si>
    <t>Switzerland</t>
  </si>
  <si>
    <t>53.3</t>
  </si>
  <si>
    <t>0.317</t>
  </si>
  <si>
    <t>82.2</t>
  </si>
  <si>
    <t>Tajikistan</t>
  </si>
  <si>
    <t>52.4</t>
  </si>
  <si>
    <t>5.98</t>
  </si>
  <si>
    <t>12.5</t>
  </si>
  <si>
    <t>69.6</t>
  </si>
  <si>
    <t>3.51</t>
  </si>
  <si>
    <t>Tanzania</t>
  </si>
  <si>
    <t>71.9</t>
  </si>
  <si>
    <t>18.7</t>
  </si>
  <si>
    <t>6.01</t>
  </si>
  <si>
    <t>9.25</t>
  </si>
  <si>
    <t>59.3</t>
  </si>
  <si>
    <t>5.43</t>
  </si>
  <si>
    <t>Thailand</t>
  </si>
  <si>
    <t>66.5</t>
  </si>
  <si>
    <t>76.6</t>
  </si>
  <si>
    <t>Timor-Leste</t>
  </si>
  <si>
    <t>62.6</t>
  </si>
  <si>
    <t>9.12</t>
  </si>
  <si>
    <t>71.1</t>
  </si>
  <si>
    <t>6.23</t>
  </si>
  <si>
    <t>Togo</t>
  </si>
  <si>
    <t>90.3</t>
  </si>
  <si>
    <t>40.2</t>
  </si>
  <si>
    <t>7.65</t>
  </si>
  <si>
    <t>1.18</t>
  </si>
  <si>
    <t>58.7</t>
  </si>
  <si>
    <t>4.87</t>
  </si>
  <si>
    <t>Tonga</t>
  </si>
  <si>
    <t>12.4</t>
  </si>
  <si>
    <t>60.3</t>
  </si>
  <si>
    <t>3.68</t>
  </si>
  <si>
    <t>3.91</t>
  </si>
  <si>
    <t>Tunisia</t>
  </si>
  <si>
    <t>6.21</t>
  </si>
  <si>
    <t>55.3</t>
  </si>
  <si>
    <t>3.82</t>
  </si>
  <si>
    <t>76.9</t>
  </si>
  <si>
    <t>2.14</t>
  </si>
  <si>
    <t>Turkey</t>
  </si>
  <si>
    <t>20.4</t>
  </si>
  <si>
    <t>Turkmenistan</t>
  </si>
  <si>
    <t>62</t>
  </si>
  <si>
    <t>2.5</t>
  </si>
  <si>
    <t>44.5</t>
  </si>
  <si>
    <t>2.31</t>
  </si>
  <si>
    <t>67.9</t>
  </si>
  <si>
    <t>2.83</t>
  </si>
  <si>
    <t>Uganda</t>
  </si>
  <si>
    <t>17.1</t>
  </si>
  <si>
    <t>10.6</t>
  </si>
  <si>
    <t>56.8</t>
  </si>
  <si>
    <t>6.15</t>
  </si>
  <si>
    <t>Ukraine</t>
  </si>
  <si>
    <t>47.1</t>
  </si>
  <si>
    <t>7.72</t>
  </si>
  <si>
    <t>51.1</t>
  </si>
  <si>
    <t>13.4</t>
  </si>
  <si>
    <t>United Arab Emirates</t>
  </si>
  <si>
    <t>77.7</t>
  </si>
  <si>
    <t>United Kingdom</t>
  </si>
  <si>
    <t>28.2</t>
  </si>
  <si>
    <t>9.64</t>
  </si>
  <si>
    <t>30.8</t>
  </si>
  <si>
    <t>United States</t>
  </si>
  <si>
    <t>7.3</t>
  </si>
  <si>
    <t>17.9</t>
  </si>
  <si>
    <t>15.8</t>
  </si>
  <si>
    <t>1.22</t>
  </si>
  <si>
    <t>78.7</t>
  </si>
  <si>
    <t>Uruguay</t>
  </si>
  <si>
    <t>8.35</t>
  </si>
  <si>
    <t>25.4</t>
  </si>
  <si>
    <t>4.91</t>
  </si>
  <si>
    <t>2.08</t>
  </si>
  <si>
    <t>Uzbekistan</t>
  </si>
  <si>
    <t>31.7</t>
  </si>
  <si>
    <t>5.81</t>
  </si>
  <si>
    <t>68.8</t>
  </si>
  <si>
    <t>2.34</t>
  </si>
  <si>
    <t>Vanuatu</t>
  </si>
  <si>
    <t>52.7</t>
  </si>
  <si>
    <t>63</t>
  </si>
  <si>
    <t>Venezuela</t>
  </si>
  <si>
    <t>17.6</t>
  </si>
  <si>
    <t>75.4</t>
  </si>
  <si>
    <t>2.47</t>
  </si>
  <si>
    <t>Vietnam</t>
  </si>
  <si>
    <t>6.84</t>
  </si>
  <si>
    <t>80.2</t>
  </si>
  <si>
    <t>Yemen</t>
  </si>
  <si>
    <t>5.18</t>
  </si>
  <si>
    <t>23.6</t>
  </si>
  <si>
    <t>67.5</t>
  </si>
  <si>
    <t>4.67</t>
  </si>
  <si>
    <t>Zambia</t>
  </si>
  <si>
    <t>83.1</t>
  </si>
  <si>
    <t>5.89</t>
  </si>
  <si>
    <t>30.9</t>
  </si>
  <si>
    <t>14</t>
  </si>
  <si>
    <t>52</t>
  </si>
  <si>
    <t>5.4</t>
  </si>
  <si>
    <t>Column1</t>
  </si>
  <si>
    <t>Column2</t>
  </si>
  <si>
    <t>Column Name</t>
  </si>
  <si>
    <t>Description</t>
  </si>
  <si>
    <t>Name of the country</t>
  </si>
  <si>
    <t>Death of children under 5 years of age per 1000 live births</t>
  </si>
  <si>
    <t>Exports of goods and services per capita. Given as %age of the GDP per capita</t>
  </si>
  <si>
    <t>Total health spending per capita. Given as %age of GDP per capita</t>
  </si>
  <si>
    <t>Imports of goods and services per capita. Given as %age of the GDP per capita</t>
  </si>
  <si>
    <t>Income</t>
  </si>
  <si>
    <t>Net income per person</t>
  </si>
  <si>
    <t>Inflation</t>
  </si>
  <si>
    <t>The measurement of the annual growth rate of the Total GDP</t>
  </si>
  <si>
    <t>The average number of years a new born child would live if the current mortality patterns are to remain the same</t>
  </si>
  <si>
    <t>The number of children that would be born to each woman if the current age-fertility rates remain the same.</t>
  </si>
  <si>
    <t>The GDP per capita. Calculated as the Total GDP divided by the total population.</t>
  </si>
  <si>
    <t>Moyenne</t>
  </si>
  <si>
    <t>Ecart-type</t>
  </si>
  <si>
    <t>PCR</t>
  </si>
  <si>
    <t>TCR</t>
  </si>
  <si>
    <t>ACR</t>
  </si>
  <si>
    <t>NCR</t>
  </si>
  <si>
    <t>QCR</t>
  </si>
  <si>
    <t>Matrice de correlation</t>
  </si>
  <si>
    <t>Matrice de covariance</t>
  </si>
  <si>
    <t>Vecteurs propres</t>
  </si>
  <si>
    <t>Coordonnées des individus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</si>
</sst>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NumberForma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70C4759-8A4E-4401-ADB4-2719C0A8A3C9}" autoFormatId="16" applyNumberFormats="0" applyBorderFormats="0" applyFontFormats="0" applyPatternFormats="0" applyAlignmentFormats="0" applyWidthHeightFormats="0">
  <queryTableRefresh nextId="11">
    <queryTableFields count="10">
      <queryTableField id="1" name="country" tableColumnId="1"/>
      <queryTableField id="2" name="child_mort" tableColumnId="2"/>
      <queryTableField id="3" name="exports" tableColumnId="3"/>
      <queryTableField id="4" name="health" tableColumnId="4"/>
      <queryTableField id="5" name="imports" tableColumnId="5"/>
      <queryTableField id="6" name="income" tableColumnId="6"/>
      <queryTableField id="7" name="inflation" tableColumnId="7"/>
      <queryTableField id="8" name="life_expec" tableColumnId="8"/>
      <queryTableField id="9" name="total_fer" tableColumnId="9"/>
      <queryTableField id="10" name="gdpp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855B14DF-3C92-42B5-8A55-450432ED300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6145C8-FC0F-480C-B40D-2881990C7A84}" name="Country_data" displayName="Country_data" ref="A1:J168" tableType="queryTable" totalsRowShown="0">
  <autoFilter ref="A1:J168" xr:uid="{7D6145C8-FC0F-480C-B40D-2881990C7A84}"/>
  <tableColumns count="10">
    <tableColumn id="1" xr3:uid="{0974C48A-4CFC-4508-9270-7CEA80F6D0A5}" uniqueName="1" name="country" queryTableFieldId="1" dataDxfId="9"/>
    <tableColumn id="2" xr3:uid="{0102EBEF-25A7-4DD3-B79B-EF8E043FF52C}" uniqueName="2" name="child_mort" queryTableFieldId="2" dataDxfId="8"/>
    <tableColumn id="3" xr3:uid="{51FD7524-A8EA-4BA1-BB1B-D6CD511BE787}" uniqueName="3" name="exports" queryTableFieldId="3" dataDxfId="7"/>
    <tableColumn id="4" xr3:uid="{E62BA3CC-C0B4-4204-B0C0-2F691F2FDA40}" uniqueName="4" name="health" queryTableFieldId="4" dataDxfId="6"/>
    <tableColumn id="5" xr3:uid="{17C6B7E9-26EE-4028-BB5A-F92AB2AF615F}" uniqueName="5" name="imports" queryTableFieldId="5" dataDxfId="5"/>
    <tableColumn id="6" xr3:uid="{2F9B8484-77A3-4704-8A66-3E2C3BD41BA7}" uniqueName="6" name="income" queryTableFieldId="6"/>
    <tableColumn id="7" xr3:uid="{BC7839EF-1CE9-4DAC-874D-85B402141433}" uniqueName="7" name="inflation" queryTableFieldId="7" dataDxfId="4"/>
    <tableColumn id="8" xr3:uid="{D8145C71-8075-49F9-A27F-8335A21A4257}" uniqueName="8" name="life_expec" queryTableFieldId="8" dataDxfId="3"/>
    <tableColumn id="9" xr3:uid="{581D33DD-50B5-48BA-86B5-8A528C6772C4}" uniqueName="9" name="total_fer" queryTableFieldId="9" dataDxfId="2"/>
    <tableColumn id="10" xr3:uid="{7D07B5FC-08BB-499E-BEAF-7A02B0A14FE7}" uniqueName="10" name="gdpp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8FD52F-05B2-4A56-9E31-E33DBE6149A9}" name="data_dictionary" displayName="data_dictionary" ref="A1:B12" tableType="queryTable" totalsRowShown="0">
  <autoFilter ref="A1:B12" xr:uid="{158FD52F-05B2-4A56-9E31-E33DBE6149A9}"/>
  <tableColumns count="2">
    <tableColumn id="1" xr3:uid="{3C6F9282-F000-40DF-BE1E-21017D5BCEC8}" uniqueName="1" name="Column1" queryTableFieldId="1" dataDxfId="1"/>
    <tableColumn id="2" xr3:uid="{B5E30495-F908-496E-AA2B-6A8A7892E101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4969-A8AE-4D13-B42E-005FF7831503}">
  <sheetPr codeName="Feuil1"/>
  <dimension ref="A1:M33"/>
  <sheetViews>
    <sheetView tabSelected="1" zoomScaleNormal="100" workbookViewId="0">
      <selection activeCell="I18" sqref="I18"/>
    </sheetView>
  </sheetViews>
  <sheetFormatPr baseColWidth="10" defaultRowHeight="15" x14ac:dyDescent="0.25"/>
  <cols>
    <col min="2" max="5" width="11.7109375" bestFit="1" customWidth="1"/>
    <col min="6" max="6" width="12" bestFit="1" customWidth="1"/>
  </cols>
  <sheetData>
    <row r="1" spans="1:13" x14ac:dyDescent="0.25">
      <c r="A1" s="1"/>
      <c r="B1" s="1" t="s">
        <v>11</v>
      </c>
      <c r="C1" s="1" t="s">
        <v>12</v>
      </c>
      <c r="D1" s="1" t="s">
        <v>0</v>
      </c>
      <c r="E1" s="1" t="s">
        <v>13</v>
      </c>
      <c r="F1" s="1" t="s">
        <v>1</v>
      </c>
      <c r="I1" s="5" t="s">
        <v>1024</v>
      </c>
      <c r="J1" s="5" t="s">
        <v>1025</v>
      </c>
      <c r="K1" s="5" t="s">
        <v>1026</v>
      </c>
      <c r="L1" s="5" t="s">
        <v>1027</v>
      </c>
      <c r="M1" s="6" t="s">
        <v>1028</v>
      </c>
    </row>
    <row r="2" spans="1:13" x14ac:dyDescent="0.25">
      <c r="A2" s="2" t="s">
        <v>2</v>
      </c>
      <c r="B2" s="3">
        <v>6</v>
      </c>
      <c r="C2" s="3">
        <v>6</v>
      </c>
      <c r="D2" s="3">
        <v>5</v>
      </c>
      <c r="E2" s="3">
        <v>5.5</v>
      </c>
      <c r="F2" s="3">
        <v>8</v>
      </c>
      <c r="H2" s="2" t="s">
        <v>2</v>
      </c>
      <c r="I2" s="2">
        <f>(B2-B$12)/B$13</f>
        <v>-1.0243644337953812</v>
      </c>
      <c r="J2" s="2">
        <f t="shared" ref="J2:M10" si="0">(C2-C$12)/C$13</f>
        <v>-1.2084359562332878</v>
      </c>
      <c r="K2" s="2">
        <f t="shared" si="0"/>
        <v>-1.4176672766279306</v>
      </c>
      <c r="L2" s="2">
        <f t="shared" ref="L2:L10" si="1">(E2-E$12)/E$13</f>
        <v>-1.5322617553657476</v>
      </c>
      <c r="M2" s="2">
        <f t="shared" ref="M2:M10" si="2">(F2-F$12)/F$13</f>
        <v>-0.96076892283052273</v>
      </c>
    </row>
    <row r="3" spans="1:13" x14ac:dyDescent="0.25">
      <c r="A3" s="2" t="s">
        <v>3</v>
      </c>
      <c r="B3" s="3">
        <v>8</v>
      </c>
      <c r="C3" s="3">
        <v>8</v>
      </c>
      <c r="D3" s="3">
        <v>8</v>
      </c>
      <c r="E3" s="3">
        <v>8</v>
      </c>
      <c r="F3" s="3">
        <v>9</v>
      </c>
      <c r="H3" s="2" t="s">
        <v>3</v>
      </c>
      <c r="I3" s="2">
        <f t="shared" ref="I3:I10" si="3">(B3-B$12)/B$13</f>
        <v>-0.46562019717971864</v>
      </c>
      <c r="J3" s="2">
        <f t="shared" si="0"/>
        <v>-0.57794763124200732</v>
      </c>
      <c r="K3" s="2">
        <f t="shared" si="0"/>
        <v>-0.60326267090550223</v>
      </c>
      <c r="L3" s="2">
        <f t="shared" si="1"/>
        <v>-0.68100522460699886</v>
      </c>
      <c r="M3" s="2">
        <f t="shared" si="2"/>
        <v>-0.64051261522034852</v>
      </c>
    </row>
    <row r="4" spans="1:13" x14ac:dyDescent="0.25">
      <c r="A4" s="2" t="s">
        <v>4</v>
      </c>
      <c r="B4" s="3">
        <v>6</v>
      </c>
      <c r="C4" s="3">
        <v>7</v>
      </c>
      <c r="D4" s="3">
        <v>11</v>
      </c>
      <c r="E4" s="3">
        <v>9.5</v>
      </c>
      <c r="F4" s="3">
        <v>11</v>
      </c>
      <c r="H4" s="2" t="s">
        <v>4</v>
      </c>
      <c r="I4" s="2">
        <f t="shared" si="3"/>
        <v>-1.0243644337953812</v>
      </c>
      <c r="J4" s="2">
        <f t="shared" si="0"/>
        <v>-0.89319179373764757</v>
      </c>
      <c r="K4" s="2">
        <f t="shared" si="0"/>
        <v>0.21114193481692606</v>
      </c>
      <c r="L4" s="2">
        <f t="shared" si="1"/>
        <v>-0.17025130615174972</v>
      </c>
      <c r="M4" s="2">
        <f t="shared" si="2"/>
        <v>0</v>
      </c>
    </row>
    <row r="5" spans="1:13" x14ac:dyDescent="0.25">
      <c r="A5" s="2" t="s">
        <v>5</v>
      </c>
      <c r="B5" s="3">
        <v>14.5</v>
      </c>
      <c r="C5" s="3">
        <v>14.5</v>
      </c>
      <c r="D5" s="3">
        <v>15.5</v>
      </c>
      <c r="E5" s="3">
        <v>15</v>
      </c>
      <c r="F5" s="3">
        <v>8</v>
      </c>
      <c r="H5" s="2" t="s">
        <v>5</v>
      </c>
      <c r="I5" s="2">
        <f t="shared" si="3"/>
        <v>1.3502985718211846</v>
      </c>
      <c r="J5" s="2">
        <f t="shared" si="0"/>
        <v>1.4711394249796543</v>
      </c>
      <c r="K5" s="2">
        <f t="shared" si="0"/>
        <v>1.4327488434005684</v>
      </c>
      <c r="L5" s="2">
        <f t="shared" si="1"/>
        <v>1.7025130615174973</v>
      </c>
      <c r="M5" s="2">
        <f t="shared" si="2"/>
        <v>-0.96076892283052273</v>
      </c>
    </row>
    <row r="6" spans="1:13" x14ac:dyDescent="0.25">
      <c r="A6" s="2" t="s">
        <v>6</v>
      </c>
      <c r="B6" s="3">
        <v>14</v>
      </c>
      <c r="C6" s="3">
        <v>14</v>
      </c>
      <c r="D6" s="3">
        <v>12</v>
      </c>
      <c r="E6" s="3">
        <v>12</v>
      </c>
      <c r="F6" s="3">
        <v>10</v>
      </c>
      <c r="H6" s="2" t="s">
        <v>6</v>
      </c>
      <c r="I6" s="2">
        <f t="shared" si="3"/>
        <v>1.2106125126672691</v>
      </c>
      <c r="J6" s="2">
        <f t="shared" si="0"/>
        <v>1.3135173437318342</v>
      </c>
      <c r="K6" s="2">
        <f t="shared" si="0"/>
        <v>0.48261013672440217</v>
      </c>
      <c r="L6" s="2">
        <f t="shared" si="1"/>
        <v>0.68100522460699886</v>
      </c>
      <c r="M6" s="2">
        <f t="shared" si="2"/>
        <v>-0.32025630761017426</v>
      </c>
    </row>
    <row r="7" spans="1:13" x14ac:dyDescent="0.25">
      <c r="A7" s="2" t="s">
        <v>7</v>
      </c>
      <c r="B7" s="3">
        <v>11</v>
      </c>
      <c r="C7" s="3">
        <v>10</v>
      </c>
      <c r="D7" s="3">
        <v>5.5</v>
      </c>
      <c r="E7" s="3">
        <v>7</v>
      </c>
      <c r="F7" s="3">
        <v>13</v>
      </c>
      <c r="H7" s="2" t="s">
        <v>7</v>
      </c>
      <c r="I7" s="2">
        <f t="shared" si="3"/>
        <v>0.3724961577437752</v>
      </c>
      <c r="J7" s="2">
        <f t="shared" si="0"/>
        <v>5.2540693749273192E-2</v>
      </c>
      <c r="K7" s="2">
        <f t="shared" si="0"/>
        <v>-1.2819331756741925</v>
      </c>
      <c r="L7" s="2">
        <f t="shared" si="1"/>
        <v>-1.0215078369104984</v>
      </c>
      <c r="M7" s="2">
        <f t="shared" si="2"/>
        <v>0.64051261522034852</v>
      </c>
    </row>
    <row r="8" spans="1:13" x14ac:dyDescent="0.25">
      <c r="A8" s="2" t="s">
        <v>8</v>
      </c>
      <c r="B8" s="3">
        <v>5.5</v>
      </c>
      <c r="C8" s="3">
        <v>7</v>
      </c>
      <c r="D8" s="3">
        <v>14</v>
      </c>
      <c r="E8" s="3">
        <v>11.5</v>
      </c>
      <c r="F8" s="3">
        <v>10</v>
      </c>
      <c r="H8" s="2" t="s">
        <v>8</v>
      </c>
      <c r="I8" s="2">
        <f t="shared" si="3"/>
        <v>-1.1640504929492967</v>
      </c>
      <c r="J8" s="2">
        <f t="shared" si="0"/>
        <v>-0.89319179373764757</v>
      </c>
      <c r="K8" s="2">
        <f t="shared" si="0"/>
        <v>1.0255465405393545</v>
      </c>
      <c r="L8" s="2">
        <f t="shared" si="1"/>
        <v>0.5107539184552492</v>
      </c>
      <c r="M8" s="2">
        <f t="shared" si="2"/>
        <v>-0.32025630761017426</v>
      </c>
    </row>
    <row r="9" spans="1:13" x14ac:dyDescent="0.25">
      <c r="A9" s="2" t="s">
        <v>9</v>
      </c>
      <c r="B9" s="3">
        <v>13</v>
      </c>
      <c r="C9" s="3">
        <v>12.5</v>
      </c>
      <c r="D9" s="3">
        <v>8.5</v>
      </c>
      <c r="E9" s="3">
        <v>9.5</v>
      </c>
      <c r="F9" s="3">
        <v>12</v>
      </c>
      <c r="H9" s="2" t="s">
        <v>9</v>
      </c>
      <c r="I9" s="2">
        <f t="shared" si="3"/>
        <v>0.93124039435943773</v>
      </c>
      <c r="J9" s="2">
        <f t="shared" si="0"/>
        <v>0.84065109998837384</v>
      </c>
      <c r="K9" s="2">
        <f t="shared" si="0"/>
        <v>-0.46752856995176417</v>
      </c>
      <c r="L9" s="2">
        <f t="shared" si="1"/>
        <v>-0.17025130615174972</v>
      </c>
      <c r="M9" s="2">
        <f t="shared" si="2"/>
        <v>0.32025630761017426</v>
      </c>
    </row>
    <row r="10" spans="1:13" x14ac:dyDescent="0.25">
      <c r="A10" s="2" t="s">
        <v>10</v>
      </c>
      <c r="B10" s="3">
        <v>9</v>
      </c>
      <c r="C10" s="3">
        <v>9.5</v>
      </c>
      <c r="D10" s="3">
        <v>12.5</v>
      </c>
      <c r="E10" s="3">
        <v>12</v>
      </c>
      <c r="F10" s="3">
        <v>18</v>
      </c>
      <c r="H10" s="2" t="s">
        <v>10</v>
      </c>
      <c r="I10" s="2">
        <f t="shared" si="3"/>
        <v>-0.18624807887188735</v>
      </c>
      <c r="J10" s="2">
        <f t="shared" si="0"/>
        <v>-0.10508138749854694</v>
      </c>
      <c r="K10" s="2">
        <f t="shared" si="0"/>
        <v>0.61834423767814017</v>
      </c>
      <c r="L10" s="2">
        <f t="shared" si="1"/>
        <v>0.68100522460699886</v>
      </c>
      <c r="M10" s="2">
        <f t="shared" si="2"/>
        <v>2.2417941532712198</v>
      </c>
    </row>
    <row r="12" spans="1:13" x14ac:dyDescent="0.25">
      <c r="A12" t="s">
        <v>1022</v>
      </c>
      <c r="B12">
        <f>AVERAGE(B2:B10)</f>
        <v>9.6666666666666661</v>
      </c>
      <c r="C12">
        <f>AVERAGE(C2:C10)</f>
        <v>9.8333333333333339</v>
      </c>
      <c r="D12">
        <f t="shared" ref="D12:F12" si="4">AVERAGE(D2:D10)</f>
        <v>10.222222222222221</v>
      </c>
      <c r="E12">
        <f t="shared" si="4"/>
        <v>10</v>
      </c>
      <c r="F12">
        <f t="shared" si="4"/>
        <v>11</v>
      </c>
    </row>
    <row r="13" spans="1:13" x14ac:dyDescent="0.25">
      <c r="A13" t="s">
        <v>1023</v>
      </c>
      <c r="B13">
        <f>_xlfn.STDEV.S(B2:B10)</f>
        <v>3.5794552658190883</v>
      </c>
      <c r="C13">
        <f t="shared" ref="C13:F13" si="5">_xlfn.STDEV.S(C2:C10)</f>
        <v>3.1721443851123801</v>
      </c>
      <c r="D13">
        <f t="shared" si="5"/>
        <v>3.6836726842167238</v>
      </c>
      <c r="E13">
        <f t="shared" si="5"/>
        <v>2.9368350311176825</v>
      </c>
      <c r="F13">
        <f t="shared" si="5"/>
        <v>3.1224989991991992</v>
      </c>
    </row>
    <row r="16" spans="1:13" x14ac:dyDescent="0.25">
      <c r="B16" t="s">
        <v>1029</v>
      </c>
      <c r="H16" t="s">
        <v>1032</v>
      </c>
    </row>
    <row r="18" spans="2:13" x14ac:dyDescent="0.25">
      <c r="B18" s="2">
        <f>CORREL(B2:B10,B2:B10)</f>
        <v>1</v>
      </c>
      <c r="C18" s="2">
        <f>CORREL(B2:B10,C2:C10)</f>
        <v>0.98253572866965355</v>
      </c>
      <c r="D18" s="2">
        <f>CORREL(B2:B10,D2:D10)</f>
        <v>0.22673193312470272</v>
      </c>
      <c r="E18" s="2">
        <f>CORREL(B2:B10,E2:E10)</f>
        <v>0.49049826420673459</v>
      </c>
      <c r="F18" s="2">
        <f>CORREL(B2:B10,F2:F10)</f>
        <v>1.1183835382312352E-2</v>
      </c>
      <c r="H18" s="2" t="s">
        <v>2</v>
      </c>
      <c r="I18" s="2"/>
      <c r="J18" s="2"/>
      <c r="K18" s="2"/>
      <c r="L18" s="2"/>
      <c r="M18" s="2"/>
    </row>
    <row r="19" spans="2:13" x14ac:dyDescent="0.25">
      <c r="B19" s="2">
        <f>CORREL(C2:C10,B2:B10)</f>
        <v>0.98253572866965355</v>
      </c>
      <c r="C19" s="2">
        <f>CORREL(C2:C10,C2:C10)</f>
        <v>1</v>
      </c>
      <c r="D19" s="2">
        <f>CORREL(C2:C10,D2:D10)</f>
        <v>0.39669323801834644</v>
      </c>
      <c r="E19" s="2">
        <f>CORREL(C2:C10,E2:E10)</f>
        <v>0.63398550310511659</v>
      </c>
      <c r="F19" s="2">
        <f>CORREL(C2:C10,F2:F10)</f>
        <v>6.3099332172822202E-3</v>
      </c>
      <c r="H19" s="2" t="s">
        <v>3</v>
      </c>
      <c r="I19" s="2"/>
      <c r="J19" s="2"/>
      <c r="K19" s="2"/>
      <c r="L19" s="2"/>
      <c r="M19" s="2"/>
    </row>
    <row r="20" spans="2:13" x14ac:dyDescent="0.25">
      <c r="B20" s="2">
        <f>CORREL(D2:D10,B2:B10)</f>
        <v>0.22673193312470272</v>
      </c>
      <c r="C20" s="2">
        <f>CORREL(D2:D10,C2:C10)</f>
        <v>0.39669323801834644</v>
      </c>
      <c r="D20" s="2">
        <f>CORREL(D2:D10,D2:D10)</f>
        <v>1</v>
      </c>
      <c r="E20" s="2">
        <f>CORREL(D2:D10,E2:E10)</f>
        <v>0.95613106753626698</v>
      </c>
      <c r="F20" s="2">
        <f>CORREL(D2:D10,F2:F10)</f>
        <v>3.8035989239701938E-2</v>
      </c>
      <c r="H20" s="2" t="s">
        <v>4</v>
      </c>
      <c r="I20" s="2"/>
      <c r="J20" s="2"/>
      <c r="K20" s="2"/>
      <c r="L20" s="2"/>
      <c r="M20" s="2"/>
    </row>
    <row r="21" spans="2:13" x14ac:dyDescent="0.25">
      <c r="B21" s="2">
        <f>CORREL(E2:E10,B2:B10)</f>
        <v>0.49049826420673459</v>
      </c>
      <c r="C21" s="2">
        <f>CORREL(E2:E10,C2:C10)</f>
        <v>0.63398550310511659</v>
      </c>
      <c r="D21" s="2">
        <f>CORREL(E2:E10,D2:D10)</f>
        <v>0.95613106753626698</v>
      </c>
      <c r="E21" s="2">
        <f>CORREL(E2:E10,E2:E10)</f>
        <v>0.99999999999999989</v>
      </c>
      <c r="F21" s="2">
        <f>CORREL(E2:E10,F2:F10)</f>
        <v>8.860158884519917E-2</v>
      </c>
      <c r="H21" s="2" t="s">
        <v>5</v>
      </c>
      <c r="I21" s="2"/>
      <c r="J21" s="2"/>
      <c r="K21" s="2"/>
      <c r="L21" s="2"/>
      <c r="M21" s="2"/>
    </row>
    <row r="22" spans="2:13" x14ac:dyDescent="0.25">
      <c r="B22" s="2">
        <f>CORREL(F2:F10,B2:B10)</f>
        <v>1.1183835382312352E-2</v>
      </c>
      <c r="C22" s="2">
        <f>CORREL(F2:F10,C2:C10)</f>
        <v>6.3099332172822202E-3</v>
      </c>
      <c r="D22" s="2">
        <f>CORREL(F2:F10,D2:D10)</f>
        <v>3.8035989239701938E-2</v>
      </c>
      <c r="E22" s="2">
        <f>CORREL(F2:F10,E2:E10)</f>
        <v>8.860158884519917E-2</v>
      </c>
      <c r="F22" s="2">
        <f>CORREL(F2:F10,F2:F10)</f>
        <v>1</v>
      </c>
      <c r="H22" s="2" t="s">
        <v>6</v>
      </c>
      <c r="I22" s="2"/>
      <c r="J22" s="2"/>
      <c r="K22" s="2"/>
      <c r="L22" s="2"/>
      <c r="M22" s="2"/>
    </row>
    <row r="23" spans="2:13" x14ac:dyDescent="0.25">
      <c r="H23" s="2" t="s">
        <v>7</v>
      </c>
      <c r="I23" s="2"/>
      <c r="J23" s="2"/>
      <c r="K23" s="2"/>
      <c r="L23" s="2"/>
      <c r="M23" s="2"/>
    </row>
    <row r="24" spans="2:13" x14ac:dyDescent="0.25">
      <c r="B24" t="s">
        <v>1030</v>
      </c>
      <c r="H24" s="2" t="s">
        <v>8</v>
      </c>
      <c r="I24" s="2"/>
      <c r="J24" s="2"/>
      <c r="K24" s="2"/>
      <c r="L24" s="2"/>
      <c r="M24" s="2"/>
    </row>
    <row r="25" spans="2:13" x14ac:dyDescent="0.25">
      <c r="H25" s="2" t="s">
        <v>9</v>
      </c>
      <c r="I25" s="2"/>
      <c r="J25" s="2"/>
      <c r="K25" s="2"/>
      <c r="L25" s="2"/>
      <c r="M25" s="2"/>
    </row>
    <row r="26" spans="2:13" x14ac:dyDescent="0.25">
      <c r="B26" s="2">
        <f>_xlfn.COVARIANCE.P(B2:B10,B2:B10)</f>
        <v>11.388888888888891</v>
      </c>
      <c r="C26" s="2">
        <f>_xlfn.COVARIANCE.P(B2:B10,C2:C10)</f>
        <v>9.9166666666666679</v>
      </c>
      <c r="D26" s="2">
        <f>_xlfn.COVARIANCE.P(B2:B10,D2:D10)</f>
        <v>2.657407407407407</v>
      </c>
      <c r="E26" s="2">
        <f>_xlfn.COVARIANCE.P(B2:B10,E2:E10)</f>
        <v>4.583333333333333</v>
      </c>
      <c r="F26" s="2">
        <f>_xlfn.COVARIANCE.P(B2:B10,F2:F10)</f>
        <v>0.1111111111111111</v>
      </c>
      <c r="H26" s="2" t="s">
        <v>10</v>
      </c>
      <c r="I26" s="2"/>
      <c r="J26" s="2"/>
      <c r="K26" s="2"/>
      <c r="L26" s="2"/>
      <c r="M26" s="2"/>
    </row>
    <row r="27" spans="2:13" x14ac:dyDescent="0.25">
      <c r="B27" s="2">
        <f>_xlfn.COVARIANCE.P(C2:C10,B2:B10)</f>
        <v>9.9166666666666679</v>
      </c>
      <c r="C27" s="2">
        <f>_xlfn.COVARIANCE.P(C2:C10,C2:C10)</f>
        <v>8.9444444444444464</v>
      </c>
      <c r="D27" s="2">
        <f>_xlfn.COVARIANCE.P(C2:C10,D2:D10)</f>
        <v>4.1203703703703711</v>
      </c>
      <c r="E27" s="2">
        <f>_xlfn.COVARIANCE.P(C2:C10,E2:E10)</f>
        <v>5.25</v>
      </c>
      <c r="F27" s="2">
        <f>_xlfn.COVARIANCE.P(C2:C10,F2:F10)</f>
        <v>5.5555555555555552E-2</v>
      </c>
    </row>
    <row r="28" spans="2:13" x14ac:dyDescent="0.25">
      <c r="B28" s="2">
        <f>_xlfn.COVARIANCE.P(D2:D10,B2:B10)</f>
        <v>2.657407407407407</v>
      </c>
      <c r="C28" s="2">
        <f>_xlfn.COVARIANCE.P(D2:D10,C2:C10)</f>
        <v>4.1203703703703711</v>
      </c>
      <c r="D28" s="2">
        <f>_xlfn.COVARIANCE.P(D2:D10,D2:D10)</f>
        <v>12.061728395061728</v>
      </c>
      <c r="E28" s="2">
        <f>_xlfn.COVARIANCE.P(D2:D10,E2:E10)</f>
        <v>9.1944444444444446</v>
      </c>
      <c r="F28" s="2">
        <f>_xlfn.COVARIANCE.P(D2:D10,F2:F10)</f>
        <v>0.3888888888888889</v>
      </c>
    </row>
    <row r="29" spans="2:13" x14ac:dyDescent="0.25">
      <c r="B29" s="2">
        <f>_xlfn.COVARIANCE.P(E2:E10,B2:B10)</f>
        <v>4.583333333333333</v>
      </c>
      <c r="C29" s="2">
        <f>_xlfn.COVARIANCE.P(E2:E10,C2:C10)</f>
        <v>5.25</v>
      </c>
      <c r="D29" s="2">
        <f>_xlfn.COVARIANCE.P(E2:E10,D2:D10)</f>
        <v>9.1944444444444446</v>
      </c>
      <c r="E29" s="2">
        <f>_xlfn.COVARIANCE.P(E2:E10,E2:E10)</f>
        <v>7.666666666666667</v>
      </c>
      <c r="F29" s="2">
        <f>_xlfn.COVARIANCE.P(E2:E10,F2:F10)</f>
        <v>0.72222222222222221</v>
      </c>
    </row>
    <row r="30" spans="2:13" x14ac:dyDescent="0.25">
      <c r="B30" s="2">
        <f>_xlfn.COVARIANCE.P(F2:F10,B2:B10)</f>
        <v>0.1111111111111111</v>
      </c>
      <c r="C30" s="2">
        <f>_xlfn.COVARIANCE.P(F2:F10,C2:C10)</f>
        <v>5.5555555555555552E-2</v>
      </c>
      <c r="D30" s="2">
        <f>_xlfn.COVARIANCE.P(F2:F10,D2:D10)</f>
        <v>0.3888888888888889</v>
      </c>
      <c r="E30" s="2">
        <f>_xlfn.COVARIANCE.P(F2:F10,E2:E10)</f>
        <v>0.72222222222222221</v>
      </c>
      <c r="F30" s="2">
        <f>_xlfn.COVARIANCE.P(F2:F10,F2:F10)</f>
        <v>8.6666666666666661</v>
      </c>
    </row>
    <row r="33" spans="2:2" x14ac:dyDescent="0.25">
      <c r="B33" t="s">
        <v>1031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5EFE-300E-4CDB-8D4C-8034327EE7F1}">
  <sheetPr codeName="Feuil2"/>
  <dimension ref="A1:J168"/>
  <sheetViews>
    <sheetView workbookViewId="0">
      <selection activeCell="A4" sqref="A4"/>
    </sheetView>
  </sheetViews>
  <sheetFormatPr baseColWidth="10" defaultRowHeight="15" x14ac:dyDescent="0.25"/>
  <cols>
    <col min="1" max="1" width="28.7109375" bestFit="1" customWidth="1"/>
    <col min="2" max="2" width="12.85546875" bestFit="1" customWidth="1"/>
    <col min="3" max="3" width="10" bestFit="1" customWidth="1"/>
    <col min="4" max="4" width="9" bestFit="1" customWidth="1"/>
    <col min="5" max="5" width="10.140625" bestFit="1" customWidth="1"/>
    <col min="6" max="6" width="9.85546875" bestFit="1" customWidth="1"/>
    <col min="7" max="7" width="10.85546875" bestFit="1" customWidth="1"/>
    <col min="8" max="8" width="12.5703125" bestFit="1" customWidth="1"/>
    <col min="9" max="9" width="11" bestFit="1" customWidth="1"/>
    <col min="10" max="10" width="7.7109375" bestFit="1" customWidth="1"/>
  </cols>
  <sheetData>
    <row r="1" spans="1:10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 x14ac:dyDescent="0.25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>
        <v>1610</v>
      </c>
      <c r="G2" s="4" t="s">
        <v>29</v>
      </c>
      <c r="H2" s="4" t="s">
        <v>30</v>
      </c>
      <c r="I2" s="4" t="s">
        <v>31</v>
      </c>
      <c r="J2">
        <v>553</v>
      </c>
    </row>
    <row r="3" spans="1:10" x14ac:dyDescent="0.25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>
        <v>9930</v>
      </c>
      <c r="G3" s="4" t="s">
        <v>37</v>
      </c>
      <c r="H3" s="4" t="s">
        <v>38</v>
      </c>
      <c r="I3" s="4" t="s">
        <v>39</v>
      </c>
      <c r="J3">
        <v>4090</v>
      </c>
    </row>
    <row r="4" spans="1:10" x14ac:dyDescent="0.25">
      <c r="A4" s="4" t="s">
        <v>40</v>
      </c>
      <c r="B4" s="4" t="s">
        <v>41</v>
      </c>
      <c r="C4" s="4" t="s">
        <v>42</v>
      </c>
      <c r="D4" s="4" t="s">
        <v>43</v>
      </c>
      <c r="E4" s="4" t="s">
        <v>44</v>
      </c>
      <c r="F4">
        <v>12900</v>
      </c>
      <c r="G4" s="4" t="s">
        <v>45</v>
      </c>
      <c r="H4" s="4" t="s">
        <v>46</v>
      </c>
      <c r="I4" s="4" t="s">
        <v>47</v>
      </c>
      <c r="J4">
        <v>4460</v>
      </c>
    </row>
    <row r="5" spans="1:10" x14ac:dyDescent="0.25">
      <c r="A5" s="4" t="s">
        <v>48</v>
      </c>
      <c r="B5" s="4" t="s">
        <v>49</v>
      </c>
      <c r="C5" s="4" t="s">
        <v>50</v>
      </c>
      <c r="D5" s="4" t="s">
        <v>51</v>
      </c>
      <c r="E5" s="4" t="s">
        <v>52</v>
      </c>
      <c r="F5">
        <v>5900</v>
      </c>
      <c r="G5" s="4" t="s">
        <v>53</v>
      </c>
      <c r="H5" s="4" t="s">
        <v>54</v>
      </c>
      <c r="I5" s="4" t="s">
        <v>55</v>
      </c>
      <c r="J5">
        <v>3530</v>
      </c>
    </row>
    <row r="6" spans="1:10" x14ac:dyDescent="0.25">
      <c r="A6" s="4" t="s">
        <v>56</v>
      </c>
      <c r="B6" s="4" t="s">
        <v>57</v>
      </c>
      <c r="C6" s="4" t="s">
        <v>58</v>
      </c>
      <c r="D6" s="4" t="s">
        <v>59</v>
      </c>
      <c r="E6" s="4" t="s">
        <v>60</v>
      </c>
      <c r="F6">
        <v>19100</v>
      </c>
      <c r="G6" s="4" t="s">
        <v>61</v>
      </c>
      <c r="H6" s="4" t="s">
        <v>62</v>
      </c>
      <c r="I6" s="4" t="s">
        <v>63</v>
      </c>
      <c r="J6">
        <v>12200</v>
      </c>
    </row>
    <row r="7" spans="1:10" x14ac:dyDescent="0.25">
      <c r="A7" s="4" t="s">
        <v>64</v>
      </c>
      <c r="B7" s="4" t="s">
        <v>65</v>
      </c>
      <c r="C7" s="4" t="s">
        <v>66</v>
      </c>
      <c r="D7" s="4" t="s">
        <v>67</v>
      </c>
      <c r="E7" s="4" t="s">
        <v>68</v>
      </c>
      <c r="F7">
        <v>18700</v>
      </c>
      <c r="G7" s="4" t="s">
        <v>69</v>
      </c>
      <c r="H7" s="4" t="s">
        <v>70</v>
      </c>
      <c r="I7" s="4" t="s">
        <v>71</v>
      </c>
      <c r="J7">
        <v>10300</v>
      </c>
    </row>
    <row r="8" spans="1:10" x14ac:dyDescent="0.25">
      <c r="A8" s="4" t="s">
        <v>72</v>
      </c>
      <c r="B8" s="4" t="s">
        <v>73</v>
      </c>
      <c r="C8" s="4" t="s">
        <v>74</v>
      </c>
      <c r="D8" s="4" t="s">
        <v>75</v>
      </c>
      <c r="E8" s="4" t="s">
        <v>76</v>
      </c>
      <c r="F8">
        <v>6700</v>
      </c>
      <c r="G8" s="4" t="s">
        <v>77</v>
      </c>
      <c r="H8" s="4" t="s">
        <v>78</v>
      </c>
      <c r="I8" s="4" t="s">
        <v>79</v>
      </c>
      <c r="J8">
        <v>3220</v>
      </c>
    </row>
    <row r="9" spans="1:10" x14ac:dyDescent="0.25">
      <c r="A9" s="4" t="s">
        <v>80</v>
      </c>
      <c r="B9" s="4" t="s">
        <v>81</v>
      </c>
      <c r="C9" s="4" t="s">
        <v>82</v>
      </c>
      <c r="D9" s="4" t="s">
        <v>83</v>
      </c>
      <c r="E9" s="4" t="s">
        <v>69</v>
      </c>
      <c r="F9">
        <v>41400</v>
      </c>
      <c r="G9" s="4" t="s">
        <v>84</v>
      </c>
      <c r="H9" s="4" t="s">
        <v>85</v>
      </c>
      <c r="I9" s="4" t="s">
        <v>86</v>
      </c>
      <c r="J9">
        <v>51900</v>
      </c>
    </row>
    <row r="10" spans="1:10" x14ac:dyDescent="0.25">
      <c r="A10" s="4" t="s">
        <v>87</v>
      </c>
      <c r="B10" s="4" t="s">
        <v>88</v>
      </c>
      <c r="C10" s="4" t="s">
        <v>89</v>
      </c>
      <c r="D10" s="4" t="s">
        <v>90</v>
      </c>
      <c r="E10" s="4" t="s">
        <v>91</v>
      </c>
      <c r="F10">
        <v>43200</v>
      </c>
      <c r="G10" s="4" t="s">
        <v>92</v>
      </c>
      <c r="H10" s="4" t="s">
        <v>93</v>
      </c>
      <c r="I10" s="4" t="s">
        <v>61</v>
      </c>
      <c r="J10">
        <v>46900</v>
      </c>
    </row>
    <row r="11" spans="1:10" x14ac:dyDescent="0.25">
      <c r="A11" s="4" t="s">
        <v>94</v>
      </c>
      <c r="B11" s="4" t="s">
        <v>95</v>
      </c>
      <c r="C11" s="4" t="s">
        <v>96</v>
      </c>
      <c r="D11" s="4" t="s">
        <v>97</v>
      </c>
      <c r="E11" s="4" t="s">
        <v>98</v>
      </c>
      <c r="F11">
        <v>16000</v>
      </c>
      <c r="G11" s="4" t="s">
        <v>99</v>
      </c>
      <c r="H11" s="4" t="s">
        <v>100</v>
      </c>
      <c r="I11" s="4" t="s">
        <v>101</v>
      </c>
      <c r="J11">
        <v>5840</v>
      </c>
    </row>
    <row r="12" spans="1:10" x14ac:dyDescent="0.25">
      <c r="A12" s="4" t="s">
        <v>102</v>
      </c>
      <c r="B12" s="4" t="s">
        <v>99</v>
      </c>
      <c r="C12" s="4" t="s">
        <v>103</v>
      </c>
      <c r="D12" s="4" t="s">
        <v>104</v>
      </c>
      <c r="E12" s="4" t="s">
        <v>105</v>
      </c>
      <c r="F12">
        <v>22900</v>
      </c>
      <c r="G12" s="4" t="s">
        <v>106</v>
      </c>
      <c r="H12" s="4" t="s">
        <v>107</v>
      </c>
      <c r="I12" s="4" t="s">
        <v>108</v>
      </c>
      <c r="J12">
        <v>28000</v>
      </c>
    </row>
    <row r="13" spans="1:10" x14ac:dyDescent="0.25">
      <c r="A13" s="4" t="s">
        <v>109</v>
      </c>
      <c r="B13" s="4" t="s">
        <v>110</v>
      </c>
      <c r="C13" s="4" t="s">
        <v>111</v>
      </c>
      <c r="D13" s="4" t="s">
        <v>112</v>
      </c>
      <c r="E13" s="4" t="s">
        <v>113</v>
      </c>
      <c r="F13">
        <v>41100</v>
      </c>
      <c r="G13" s="4" t="s">
        <v>114</v>
      </c>
      <c r="H13" s="4" t="s">
        <v>115</v>
      </c>
      <c r="I13" s="4" t="s">
        <v>116</v>
      </c>
      <c r="J13">
        <v>20700</v>
      </c>
    </row>
    <row r="14" spans="1:10" x14ac:dyDescent="0.25">
      <c r="A14" s="4" t="s">
        <v>117</v>
      </c>
      <c r="B14" s="4" t="s">
        <v>118</v>
      </c>
      <c r="C14" s="4" t="s">
        <v>68</v>
      </c>
      <c r="D14" s="4" t="s">
        <v>119</v>
      </c>
      <c r="E14" s="4" t="s">
        <v>120</v>
      </c>
      <c r="F14">
        <v>2440</v>
      </c>
      <c r="G14" s="4" t="s">
        <v>121</v>
      </c>
      <c r="H14" s="4" t="s">
        <v>122</v>
      </c>
      <c r="I14" s="4" t="s">
        <v>123</v>
      </c>
      <c r="J14">
        <v>758</v>
      </c>
    </row>
    <row r="15" spans="1:10" x14ac:dyDescent="0.25">
      <c r="A15" s="4" t="s">
        <v>124</v>
      </c>
      <c r="B15" s="4" t="s">
        <v>125</v>
      </c>
      <c r="C15" s="4" t="s">
        <v>126</v>
      </c>
      <c r="D15" s="4" t="s">
        <v>127</v>
      </c>
      <c r="E15" s="4" t="s">
        <v>128</v>
      </c>
      <c r="F15">
        <v>15300</v>
      </c>
      <c r="G15" s="4" t="s">
        <v>129</v>
      </c>
      <c r="H15" s="4" t="s">
        <v>130</v>
      </c>
      <c r="I15" s="4" t="s">
        <v>131</v>
      </c>
      <c r="J15">
        <v>16000</v>
      </c>
    </row>
    <row r="16" spans="1:10" x14ac:dyDescent="0.25">
      <c r="A16" s="4" t="s">
        <v>132</v>
      </c>
      <c r="B16" s="4" t="s">
        <v>133</v>
      </c>
      <c r="C16" s="4" t="s">
        <v>134</v>
      </c>
      <c r="D16" s="4" t="s">
        <v>135</v>
      </c>
      <c r="E16" s="4" t="s">
        <v>136</v>
      </c>
      <c r="F16">
        <v>16200</v>
      </c>
      <c r="G16" s="4" t="s">
        <v>137</v>
      </c>
      <c r="H16" s="4" t="s">
        <v>122</v>
      </c>
      <c r="I16" s="4" t="s">
        <v>138</v>
      </c>
      <c r="J16">
        <v>6030</v>
      </c>
    </row>
    <row r="17" spans="1:10" x14ac:dyDescent="0.25">
      <c r="A17" s="4" t="s">
        <v>139</v>
      </c>
      <c r="B17" s="4" t="s">
        <v>140</v>
      </c>
      <c r="C17" s="4" t="s">
        <v>141</v>
      </c>
      <c r="D17" s="4" t="s">
        <v>142</v>
      </c>
      <c r="E17" s="4" t="s">
        <v>143</v>
      </c>
      <c r="F17">
        <v>41100</v>
      </c>
      <c r="G17" s="4" t="s">
        <v>144</v>
      </c>
      <c r="H17" s="4" t="s">
        <v>145</v>
      </c>
      <c r="I17" s="4" t="s">
        <v>108</v>
      </c>
      <c r="J17">
        <v>44400</v>
      </c>
    </row>
    <row r="18" spans="1:10" x14ac:dyDescent="0.25">
      <c r="A18" s="4" t="s">
        <v>146</v>
      </c>
      <c r="B18" s="4" t="s">
        <v>147</v>
      </c>
      <c r="C18" s="4" t="s">
        <v>148</v>
      </c>
      <c r="D18" s="4" t="s">
        <v>149</v>
      </c>
      <c r="E18" s="4" t="s">
        <v>150</v>
      </c>
      <c r="F18">
        <v>7880</v>
      </c>
      <c r="G18" s="4" t="s">
        <v>151</v>
      </c>
      <c r="H18" s="4" t="s">
        <v>152</v>
      </c>
      <c r="I18" s="4" t="s">
        <v>153</v>
      </c>
      <c r="J18">
        <v>4340</v>
      </c>
    </row>
    <row r="19" spans="1:10" x14ac:dyDescent="0.25">
      <c r="A19" s="4" t="s">
        <v>154</v>
      </c>
      <c r="B19" s="4" t="s">
        <v>155</v>
      </c>
      <c r="C19" s="4" t="s">
        <v>156</v>
      </c>
      <c r="D19" s="4" t="s">
        <v>157</v>
      </c>
      <c r="E19" s="4" t="s">
        <v>158</v>
      </c>
      <c r="F19">
        <v>1820</v>
      </c>
      <c r="G19" s="4" t="s">
        <v>159</v>
      </c>
      <c r="H19" s="4" t="s">
        <v>160</v>
      </c>
      <c r="I19" s="4" t="s">
        <v>161</v>
      </c>
      <c r="J19">
        <v>758</v>
      </c>
    </row>
    <row r="20" spans="1:10" x14ac:dyDescent="0.25">
      <c r="A20" s="4" t="s">
        <v>162</v>
      </c>
      <c r="B20" s="4" t="s">
        <v>163</v>
      </c>
      <c r="C20" s="4" t="s">
        <v>164</v>
      </c>
      <c r="D20" s="4" t="s">
        <v>149</v>
      </c>
      <c r="E20" s="4" t="s">
        <v>165</v>
      </c>
      <c r="F20">
        <v>6420</v>
      </c>
      <c r="G20" s="4" t="s">
        <v>166</v>
      </c>
      <c r="H20" s="4" t="s">
        <v>167</v>
      </c>
      <c r="I20" s="4" t="s">
        <v>168</v>
      </c>
      <c r="J20">
        <v>2180</v>
      </c>
    </row>
    <row r="21" spans="1:10" x14ac:dyDescent="0.25">
      <c r="A21" s="4" t="s">
        <v>169</v>
      </c>
      <c r="B21" s="4" t="s">
        <v>170</v>
      </c>
      <c r="C21" s="4" t="s">
        <v>171</v>
      </c>
      <c r="D21" s="4" t="s">
        <v>172</v>
      </c>
      <c r="E21" s="4" t="s">
        <v>173</v>
      </c>
      <c r="F21">
        <v>5410</v>
      </c>
      <c r="G21" s="4" t="s">
        <v>174</v>
      </c>
      <c r="H21" s="4" t="s">
        <v>175</v>
      </c>
      <c r="I21" s="4" t="s">
        <v>176</v>
      </c>
      <c r="J21">
        <v>1980</v>
      </c>
    </row>
    <row r="22" spans="1:10" x14ac:dyDescent="0.25">
      <c r="A22" s="4" t="s">
        <v>177</v>
      </c>
      <c r="B22" s="4" t="s">
        <v>178</v>
      </c>
      <c r="C22" s="4" t="s">
        <v>179</v>
      </c>
      <c r="D22" s="4" t="s">
        <v>180</v>
      </c>
      <c r="E22" s="4" t="s">
        <v>89</v>
      </c>
      <c r="F22">
        <v>9720</v>
      </c>
      <c r="G22" s="4" t="s">
        <v>181</v>
      </c>
      <c r="H22" s="4" t="s">
        <v>62</v>
      </c>
      <c r="I22" s="4" t="s">
        <v>182</v>
      </c>
      <c r="J22">
        <v>4610</v>
      </c>
    </row>
    <row r="23" spans="1:10" x14ac:dyDescent="0.25">
      <c r="A23" s="4" t="s">
        <v>183</v>
      </c>
      <c r="B23" s="4" t="s">
        <v>184</v>
      </c>
      <c r="C23" s="4" t="s">
        <v>185</v>
      </c>
      <c r="D23" s="4" t="s">
        <v>186</v>
      </c>
      <c r="E23" s="4" t="s">
        <v>89</v>
      </c>
      <c r="F23">
        <v>13300</v>
      </c>
      <c r="G23" s="4" t="s">
        <v>187</v>
      </c>
      <c r="H23" s="4" t="s">
        <v>188</v>
      </c>
      <c r="I23" s="4" t="s">
        <v>189</v>
      </c>
      <c r="J23">
        <v>6350</v>
      </c>
    </row>
    <row r="24" spans="1:10" x14ac:dyDescent="0.25">
      <c r="A24" s="4" t="s">
        <v>190</v>
      </c>
      <c r="B24" s="4" t="s">
        <v>82</v>
      </c>
      <c r="C24" s="4" t="s">
        <v>142</v>
      </c>
      <c r="D24" s="4" t="s">
        <v>191</v>
      </c>
      <c r="E24" s="4" t="s">
        <v>192</v>
      </c>
      <c r="F24">
        <v>14500</v>
      </c>
      <c r="G24" s="4" t="s">
        <v>193</v>
      </c>
      <c r="H24" s="4" t="s">
        <v>194</v>
      </c>
      <c r="I24" s="4" t="s">
        <v>195</v>
      </c>
      <c r="J24">
        <v>11200</v>
      </c>
    </row>
    <row r="25" spans="1:10" x14ac:dyDescent="0.25">
      <c r="A25" s="4" t="s">
        <v>196</v>
      </c>
      <c r="B25" s="4" t="s">
        <v>197</v>
      </c>
      <c r="C25" s="4" t="s">
        <v>198</v>
      </c>
      <c r="D25" s="4" t="s">
        <v>199</v>
      </c>
      <c r="E25" s="4" t="s">
        <v>34</v>
      </c>
      <c r="F25">
        <v>80600</v>
      </c>
      <c r="G25" s="4" t="s">
        <v>200</v>
      </c>
      <c r="H25" s="4" t="s">
        <v>201</v>
      </c>
      <c r="I25" s="4" t="s">
        <v>202</v>
      </c>
      <c r="J25">
        <v>35300</v>
      </c>
    </row>
    <row r="26" spans="1:10" x14ac:dyDescent="0.25">
      <c r="A26" s="4" t="s">
        <v>203</v>
      </c>
      <c r="B26" s="4" t="s">
        <v>204</v>
      </c>
      <c r="C26" s="4" t="s">
        <v>205</v>
      </c>
      <c r="D26" s="4" t="s">
        <v>206</v>
      </c>
      <c r="E26" s="4" t="s">
        <v>207</v>
      </c>
      <c r="F26">
        <v>15300</v>
      </c>
      <c r="G26" s="4" t="s">
        <v>208</v>
      </c>
      <c r="H26" s="4" t="s">
        <v>209</v>
      </c>
      <c r="I26" s="4" t="s">
        <v>210</v>
      </c>
      <c r="J26">
        <v>6840</v>
      </c>
    </row>
    <row r="27" spans="1:10" x14ac:dyDescent="0.25">
      <c r="A27" s="4" t="s">
        <v>211</v>
      </c>
      <c r="B27" s="4" t="s">
        <v>212</v>
      </c>
      <c r="C27" s="4" t="s">
        <v>213</v>
      </c>
      <c r="D27" s="4" t="s">
        <v>214</v>
      </c>
      <c r="E27" s="4" t="s">
        <v>215</v>
      </c>
      <c r="F27">
        <v>1430</v>
      </c>
      <c r="G27" s="4" t="s">
        <v>216</v>
      </c>
      <c r="H27" s="4" t="s">
        <v>217</v>
      </c>
      <c r="I27" s="4" t="s">
        <v>218</v>
      </c>
      <c r="J27">
        <v>575</v>
      </c>
    </row>
    <row r="28" spans="1:10" x14ac:dyDescent="0.25">
      <c r="A28" s="4" t="s">
        <v>219</v>
      </c>
      <c r="B28" s="4" t="s">
        <v>220</v>
      </c>
      <c r="C28" s="4" t="s">
        <v>187</v>
      </c>
      <c r="D28" s="4" t="s">
        <v>221</v>
      </c>
      <c r="E28" s="4" t="s">
        <v>95</v>
      </c>
      <c r="F28">
        <v>764</v>
      </c>
      <c r="G28" s="4" t="s">
        <v>222</v>
      </c>
      <c r="H28" s="4" t="s">
        <v>223</v>
      </c>
      <c r="I28" s="4" t="s">
        <v>224</v>
      </c>
      <c r="J28">
        <v>231</v>
      </c>
    </row>
    <row r="29" spans="1:10" x14ac:dyDescent="0.25">
      <c r="A29" s="4" t="s">
        <v>225</v>
      </c>
      <c r="B29" s="4" t="s">
        <v>226</v>
      </c>
      <c r="C29" s="4" t="s">
        <v>227</v>
      </c>
      <c r="D29" s="4" t="s">
        <v>228</v>
      </c>
      <c r="E29" s="4" t="s">
        <v>229</v>
      </c>
      <c r="F29">
        <v>2520</v>
      </c>
      <c r="G29" s="4" t="s">
        <v>230</v>
      </c>
      <c r="H29" s="4" t="s">
        <v>231</v>
      </c>
      <c r="I29" s="4" t="s">
        <v>189</v>
      </c>
      <c r="J29">
        <v>786</v>
      </c>
    </row>
    <row r="30" spans="1:10" x14ac:dyDescent="0.25">
      <c r="A30" s="4" t="s">
        <v>232</v>
      </c>
      <c r="B30" s="4" t="s">
        <v>233</v>
      </c>
      <c r="C30" s="4" t="s">
        <v>234</v>
      </c>
      <c r="D30" s="4" t="s">
        <v>235</v>
      </c>
      <c r="E30" s="4" t="s">
        <v>236</v>
      </c>
      <c r="F30">
        <v>2660</v>
      </c>
      <c r="G30" s="4" t="s">
        <v>237</v>
      </c>
      <c r="H30" s="4" t="s">
        <v>238</v>
      </c>
      <c r="I30" s="4" t="s">
        <v>239</v>
      </c>
      <c r="J30">
        <v>1310</v>
      </c>
    </row>
    <row r="31" spans="1:10" x14ac:dyDescent="0.25">
      <c r="A31" s="4" t="s">
        <v>240</v>
      </c>
      <c r="B31" s="4" t="s">
        <v>241</v>
      </c>
      <c r="C31" s="4" t="s">
        <v>242</v>
      </c>
      <c r="D31" s="4" t="s">
        <v>243</v>
      </c>
      <c r="E31" s="4" t="s">
        <v>244</v>
      </c>
      <c r="F31">
        <v>40700</v>
      </c>
      <c r="G31" s="4" t="s">
        <v>245</v>
      </c>
      <c r="H31" s="4" t="s">
        <v>246</v>
      </c>
      <c r="I31" s="4" t="s">
        <v>247</v>
      </c>
      <c r="J31">
        <v>47400</v>
      </c>
    </row>
    <row r="32" spans="1:10" x14ac:dyDescent="0.25">
      <c r="A32" s="4" t="s">
        <v>248</v>
      </c>
      <c r="B32" s="4" t="s">
        <v>249</v>
      </c>
      <c r="C32" s="4" t="s">
        <v>250</v>
      </c>
      <c r="D32" s="4" t="s">
        <v>251</v>
      </c>
      <c r="E32" s="4" t="s">
        <v>160</v>
      </c>
      <c r="F32">
        <v>5830</v>
      </c>
      <c r="G32" s="4" t="s">
        <v>252</v>
      </c>
      <c r="H32" s="4" t="s">
        <v>253</v>
      </c>
      <c r="I32" s="4" t="s">
        <v>254</v>
      </c>
      <c r="J32">
        <v>3310</v>
      </c>
    </row>
    <row r="33" spans="1:10" x14ac:dyDescent="0.25">
      <c r="A33" s="4" t="s">
        <v>255</v>
      </c>
      <c r="B33" s="4" t="s">
        <v>256</v>
      </c>
      <c r="C33" s="4" t="s">
        <v>192</v>
      </c>
      <c r="D33" s="4" t="s">
        <v>257</v>
      </c>
      <c r="E33" s="4" t="s">
        <v>249</v>
      </c>
      <c r="F33">
        <v>888</v>
      </c>
      <c r="G33" s="4" t="s">
        <v>258</v>
      </c>
      <c r="H33" s="4" t="s">
        <v>259</v>
      </c>
      <c r="I33" s="4" t="s">
        <v>260</v>
      </c>
      <c r="J33">
        <v>446</v>
      </c>
    </row>
    <row r="34" spans="1:10" x14ac:dyDescent="0.25">
      <c r="A34" s="4" t="s">
        <v>261</v>
      </c>
      <c r="B34" s="4" t="s">
        <v>262</v>
      </c>
      <c r="C34" s="4" t="s">
        <v>263</v>
      </c>
      <c r="D34" s="4" t="s">
        <v>264</v>
      </c>
      <c r="E34" s="4" t="s">
        <v>265</v>
      </c>
      <c r="F34">
        <v>1930</v>
      </c>
      <c r="G34" s="4" t="s">
        <v>266</v>
      </c>
      <c r="H34" s="4" t="s">
        <v>267</v>
      </c>
      <c r="I34" s="4" t="s">
        <v>268</v>
      </c>
      <c r="J34">
        <v>897</v>
      </c>
    </row>
    <row r="35" spans="1:10" x14ac:dyDescent="0.25">
      <c r="A35" s="4" t="s">
        <v>269</v>
      </c>
      <c r="B35" s="4" t="s">
        <v>270</v>
      </c>
      <c r="C35" s="4" t="s">
        <v>271</v>
      </c>
      <c r="D35" s="4" t="s">
        <v>272</v>
      </c>
      <c r="E35" s="4" t="s">
        <v>273</v>
      </c>
      <c r="F35">
        <v>19400</v>
      </c>
      <c r="G35" s="4" t="s">
        <v>274</v>
      </c>
      <c r="H35" s="4" t="s">
        <v>275</v>
      </c>
      <c r="I35" s="4" t="s">
        <v>144</v>
      </c>
      <c r="J35">
        <v>12900</v>
      </c>
    </row>
    <row r="36" spans="1:10" x14ac:dyDescent="0.25">
      <c r="A36" s="4" t="s">
        <v>276</v>
      </c>
      <c r="B36" s="4" t="s">
        <v>277</v>
      </c>
      <c r="C36" s="4" t="s">
        <v>278</v>
      </c>
      <c r="D36" s="4" t="s">
        <v>279</v>
      </c>
      <c r="E36" s="4" t="s">
        <v>280</v>
      </c>
      <c r="F36">
        <v>9530</v>
      </c>
      <c r="G36" s="4" t="s">
        <v>281</v>
      </c>
      <c r="H36" s="4" t="s">
        <v>282</v>
      </c>
      <c r="I36" s="4" t="s">
        <v>283</v>
      </c>
      <c r="J36">
        <v>4560</v>
      </c>
    </row>
    <row r="37" spans="1:10" x14ac:dyDescent="0.25">
      <c r="A37" s="4" t="s">
        <v>284</v>
      </c>
      <c r="B37" s="4" t="s">
        <v>285</v>
      </c>
      <c r="C37" s="4" t="s">
        <v>286</v>
      </c>
      <c r="D37" s="4" t="s">
        <v>287</v>
      </c>
      <c r="E37" s="4" t="s">
        <v>288</v>
      </c>
      <c r="F37">
        <v>10900</v>
      </c>
      <c r="G37" s="4" t="s">
        <v>289</v>
      </c>
      <c r="H37" s="4" t="s">
        <v>141</v>
      </c>
      <c r="I37" s="4" t="s">
        <v>258</v>
      </c>
      <c r="J37">
        <v>6250</v>
      </c>
    </row>
    <row r="38" spans="1:10" x14ac:dyDescent="0.25">
      <c r="A38" s="4" t="s">
        <v>290</v>
      </c>
      <c r="B38" s="4" t="s">
        <v>291</v>
      </c>
      <c r="C38" s="4" t="s">
        <v>292</v>
      </c>
      <c r="D38" s="4" t="s">
        <v>293</v>
      </c>
      <c r="E38" s="4" t="s">
        <v>294</v>
      </c>
      <c r="F38">
        <v>1410</v>
      </c>
      <c r="G38" s="4" t="s">
        <v>295</v>
      </c>
      <c r="H38" s="4" t="s">
        <v>296</v>
      </c>
      <c r="I38" s="4" t="s">
        <v>297</v>
      </c>
      <c r="J38">
        <v>769</v>
      </c>
    </row>
    <row r="39" spans="1:10" x14ac:dyDescent="0.25">
      <c r="A39" s="4" t="s">
        <v>298</v>
      </c>
      <c r="B39" s="4" t="s">
        <v>212</v>
      </c>
      <c r="C39" s="4" t="s">
        <v>299</v>
      </c>
      <c r="D39" s="4" t="s">
        <v>300</v>
      </c>
      <c r="E39" s="4" t="s">
        <v>301</v>
      </c>
      <c r="F39">
        <v>609</v>
      </c>
      <c r="G39" s="4" t="s">
        <v>74</v>
      </c>
      <c r="H39" s="4" t="s">
        <v>150</v>
      </c>
      <c r="I39" s="4" t="s">
        <v>302</v>
      </c>
      <c r="J39">
        <v>334</v>
      </c>
    </row>
    <row r="40" spans="1:10" x14ac:dyDescent="0.25">
      <c r="A40" s="4" t="s">
        <v>303</v>
      </c>
      <c r="B40" s="4" t="s">
        <v>304</v>
      </c>
      <c r="C40" s="4" t="s">
        <v>305</v>
      </c>
      <c r="D40" s="4" t="s">
        <v>306</v>
      </c>
      <c r="E40" s="4" t="s">
        <v>307</v>
      </c>
      <c r="F40">
        <v>5190</v>
      </c>
      <c r="G40" s="4" t="s">
        <v>98</v>
      </c>
      <c r="H40" s="4" t="s">
        <v>308</v>
      </c>
      <c r="I40" s="4" t="s">
        <v>309</v>
      </c>
      <c r="J40">
        <v>2740</v>
      </c>
    </row>
    <row r="41" spans="1:10" x14ac:dyDescent="0.25">
      <c r="A41" s="4" t="s">
        <v>310</v>
      </c>
      <c r="B41" s="4" t="s">
        <v>311</v>
      </c>
      <c r="C41" s="4" t="s">
        <v>312</v>
      </c>
      <c r="D41" s="4" t="s">
        <v>313</v>
      </c>
      <c r="E41" s="4" t="s">
        <v>103</v>
      </c>
      <c r="F41">
        <v>13000</v>
      </c>
      <c r="G41" s="4" t="s">
        <v>314</v>
      </c>
      <c r="H41" s="4" t="s">
        <v>315</v>
      </c>
      <c r="I41" s="4" t="s">
        <v>101</v>
      </c>
      <c r="J41">
        <v>8200</v>
      </c>
    </row>
    <row r="42" spans="1:10" x14ac:dyDescent="0.25">
      <c r="A42" s="4" t="s">
        <v>316</v>
      </c>
      <c r="B42" s="4" t="s">
        <v>155</v>
      </c>
      <c r="C42" s="4" t="s">
        <v>317</v>
      </c>
      <c r="D42" s="4" t="s">
        <v>318</v>
      </c>
      <c r="E42" s="4" t="s">
        <v>319</v>
      </c>
      <c r="F42">
        <v>2690</v>
      </c>
      <c r="G42" s="4" t="s">
        <v>320</v>
      </c>
      <c r="H42" s="4" t="s">
        <v>321</v>
      </c>
      <c r="I42" s="4" t="s">
        <v>322</v>
      </c>
      <c r="J42">
        <v>1220</v>
      </c>
    </row>
    <row r="43" spans="1:10" x14ac:dyDescent="0.25">
      <c r="A43" s="4" t="s">
        <v>323</v>
      </c>
      <c r="B43" s="4" t="s">
        <v>133</v>
      </c>
      <c r="C43" s="4" t="s">
        <v>324</v>
      </c>
      <c r="D43" s="4" t="s">
        <v>325</v>
      </c>
      <c r="E43" s="4" t="s">
        <v>326</v>
      </c>
      <c r="F43">
        <v>20100</v>
      </c>
      <c r="G43" s="4" t="s">
        <v>327</v>
      </c>
      <c r="H43" s="4" t="s">
        <v>38</v>
      </c>
      <c r="I43" s="4" t="s">
        <v>328</v>
      </c>
      <c r="J43">
        <v>13500</v>
      </c>
    </row>
    <row r="44" spans="1:10" x14ac:dyDescent="0.25">
      <c r="A44" s="4" t="s">
        <v>329</v>
      </c>
      <c r="B44" s="4" t="s">
        <v>330</v>
      </c>
      <c r="C44" s="4" t="s">
        <v>205</v>
      </c>
      <c r="D44" s="4" t="s">
        <v>331</v>
      </c>
      <c r="E44" s="4" t="s">
        <v>150</v>
      </c>
      <c r="F44">
        <v>33900</v>
      </c>
      <c r="G44" s="4" t="s">
        <v>258</v>
      </c>
      <c r="H44" s="4" t="s">
        <v>332</v>
      </c>
      <c r="I44" s="4" t="s">
        <v>333</v>
      </c>
      <c r="J44">
        <v>30800</v>
      </c>
    </row>
    <row r="45" spans="1:10" x14ac:dyDescent="0.25">
      <c r="A45" s="4" t="s">
        <v>334</v>
      </c>
      <c r="B45" s="4" t="s">
        <v>335</v>
      </c>
      <c r="C45" s="4" t="s">
        <v>336</v>
      </c>
      <c r="D45" s="4" t="s">
        <v>337</v>
      </c>
      <c r="E45" s="4" t="s">
        <v>338</v>
      </c>
      <c r="F45">
        <v>28300</v>
      </c>
      <c r="G45" s="4" t="s">
        <v>339</v>
      </c>
      <c r="H45" s="4" t="s">
        <v>340</v>
      </c>
      <c r="I45" s="4" t="s">
        <v>341</v>
      </c>
      <c r="J45">
        <v>19800</v>
      </c>
    </row>
    <row r="46" spans="1:10" x14ac:dyDescent="0.25">
      <c r="A46" s="4" t="s">
        <v>342</v>
      </c>
      <c r="B46" s="4" t="s">
        <v>157</v>
      </c>
      <c r="C46" s="4" t="s">
        <v>343</v>
      </c>
      <c r="D46" s="4" t="s">
        <v>344</v>
      </c>
      <c r="E46" s="4" t="s">
        <v>185</v>
      </c>
      <c r="F46">
        <v>44000</v>
      </c>
      <c r="G46" s="4" t="s">
        <v>345</v>
      </c>
      <c r="H46" s="4" t="s">
        <v>346</v>
      </c>
      <c r="I46" s="4" t="s">
        <v>347</v>
      </c>
      <c r="J46">
        <v>58000</v>
      </c>
    </row>
    <row r="47" spans="1:10" x14ac:dyDescent="0.25">
      <c r="A47" s="4" t="s">
        <v>348</v>
      </c>
      <c r="B47" s="4" t="s">
        <v>349</v>
      </c>
      <c r="C47" s="4" t="s">
        <v>350</v>
      </c>
      <c r="D47" s="4" t="s">
        <v>351</v>
      </c>
      <c r="E47" s="4" t="s">
        <v>352</v>
      </c>
      <c r="F47">
        <v>11100</v>
      </c>
      <c r="G47" s="4" t="s">
        <v>353</v>
      </c>
      <c r="H47" s="4" t="s">
        <v>282</v>
      </c>
      <c r="I47" s="4" t="s">
        <v>354</v>
      </c>
      <c r="J47">
        <v>5450</v>
      </c>
    </row>
    <row r="48" spans="1:10" x14ac:dyDescent="0.25">
      <c r="A48" s="4" t="s">
        <v>355</v>
      </c>
      <c r="B48" s="4" t="s">
        <v>356</v>
      </c>
      <c r="C48" s="4" t="s">
        <v>357</v>
      </c>
      <c r="D48" s="4" t="s">
        <v>358</v>
      </c>
      <c r="E48" s="4" t="s">
        <v>359</v>
      </c>
      <c r="F48">
        <v>9350</v>
      </c>
      <c r="G48" s="4" t="s">
        <v>360</v>
      </c>
      <c r="H48" s="4" t="s">
        <v>130</v>
      </c>
      <c r="I48" s="4" t="s">
        <v>361</v>
      </c>
      <c r="J48">
        <v>4660</v>
      </c>
    </row>
    <row r="49" spans="1:10" x14ac:dyDescent="0.25">
      <c r="A49" s="4" t="s">
        <v>362</v>
      </c>
      <c r="B49" s="4" t="s">
        <v>242</v>
      </c>
      <c r="C49" s="4" t="s">
        <v>363</v>
      </c>
      <c r="D49" s="4" t="s">
        <v>364</v>
      </c>
      <c r="E49" s="4" t="s">
        <v>365</v>
      </c>
      <c r="F49">
        <v>9860</v>
      </c>
      <c r="G49" s="4" t="s">
        <v>366</v>
      </c>
      <c r="H49" s="4" t="s">
        <v>367</v>
      </c>
      <c r="I49" s="4" t="s">
        <v>368</v>
      </c>
      <c r="J49">
        <v>2600</v>
      </c>
    </row>
    <row r="50" spans="1:10" x14ac:dyDescent="0.25">
      <c r="A50" s="4" t="s">
        <v>369</v>
      </c>
      <c r="B50" s="4" t="s">
        <v>213</v>
      </c>
      <c r="C50" s="4" t="s">
        <v>370</v>
      </c>
      <c r="D50" s="4" t="s">
        <v>371</v>
      </c>
      <c r="E50" s="4" t="s">
        <v>170</v>
      </c>
      <c r="F50">
        <v>7300</v>
      </c>
      <c r="G50" s="4" t="s">
        <v>372</v>
      </c>
      <c r="H50" s="4" t="s">
        <v>373</v>
      </c>
      <c r="I50" s="4" t="s">
        <v>374</v>
      </c>
      <c r="J50">
        <v>2990</v>
      </c>
    </row>
    <row r="51" spans="1:10" x14ac:dyDescent="0.25">
      <c r="A51" s="4" t="s">
        <v>375</v>
      </c>
      <c r="B51" s="4" t="s">
        <v>155</v>
      </c>
      <c r="C51" s="4" t="s">
        <v>376</v>
      </c>
      <c r="D51" s="4" t="s">
        <v>377</v>
      </c>
      <c r="E51" s="4" t="s">
        <v>60</v>
      </c>
      <c r="F51">
        <v>33700</v>
      </c>
      <c r="G51" s="4" t="s">
        <v>378</v>
      </c>
      <c r="H51" s="4" t="s">
        <v>379</v>
      </c>
      <c r="I51" s="4" t="s">
        <v>260</v>
      </c>
      <c r="J51">
        <v>17100</v>
      </c>
    </row>
    <row r="52" spans="1:10" x14ac:dyDescent="0.25">
      <c r="A52" s="4" t="s">
        <v>380</v>
      </c>
      <c r="B52" s="4" t="s">
        <v>381</v>
      </c>
      <c r="C52" s="4" t="s">
        <v>382</v>
      </c>
      <c r="D52" s="4" t="s">
        <v>361</v>
      </c>
      <c r="E52" s="4" t="s">
        <v>383</v>
      </c>
      <c r="F52">
        <v>1420</v>
      </c>
      <c r="G52" s="4" t="s">
        <v>221</v>
      </c>
      <c r="H52" s="4" t="s">
        <v>384</v>
      </c>
      <c r="I52" s="4" t="s">
        <v>385</v>
      </c>
      <c r="J52">
        <v>482</v>
      </c>
    </row>
    <row r="53" spans="1:10" x14ac:dyDescent="0.25">
      <c r="A53" s="4" t="s">
        <v>386</v>
      </c>
      <c r="B53" s="4" t="s">
        <v>140</v>
      </c>
      <c r="C53" s="4" t="s">
        <v>387</v>
      </c>
      <c r="D53" s="4" t="s">
        <v>59</v>
      </c>
      <c r="E53" s="4" t="s">
        <v>388</v>
      </c>
      <c r="F53">
        <v>22700</v>
      </c>
      <c r="G53" s="4" t="s">
        <v>389</v>
      </c>
      <c r="H53" s="4" t="s">
        <v>115</v>
      </c>
      <c r="I53" s="4" t="s">
        <v>390</v>
      </c>
      <c r="J53">
        <v>14600</v>
      </c>
    </row>
    <row r="54" spans="1:10" x14ac:dyDescent="0.25">
      <c r="A54" s="4" t="s">
        <v>391</v>
      </c>
      <c r="B54" s="4" t="s">
        <v>392</v>
      </c>
      <c r="C54" s="4" t="s">
        <v>393</v>
      </c>
      <c r="D54" s="4" t="s">
        <v>394</v>
      </c>
      <c r="E54" s="4" t="s">
        <v>304</v>
      </c>
      <c r="F54">
        <v>7350</v>
      </c>
      <c r="G54" s="4" t="s">
        <v>395</v>
      </c>
      <c r="H54" s="4" t="s">
        <v>396</v>
      </c>
      <c r="I54" s="4" t="s">
        <v>254</v>
      </c>
      <c r="J54">
        <v>3650</v>
      </c>
    </row>
    <row r="55" spans="1:10" x14ac:dyDescent="0.25">
      <c r="A55" s="4" t="s">
        <v>397</v>
      </c>
      <c r="B55" s="4" t="s">
        <v>398</v>
      </c>
      <c r="C55" s="4" t="s">
        <v>399</v>
      </c>
      <c r="D55" s="4" t="s">
        <v>400</v>
      </c>
      <c r="E55" s="4" t="s">
        <v>401</v>
      </c>
      <c r="F55">
        <v>39800</v>
      </c>
      <c r="G55" s="4" t="s">
        <v>402</v>
      </c>
      <c r="H55" s="4" t="s">
        <v>145</v>
      </c>
      <c r="I55" s="4" t="s">
        <v>347</v>
      </c>
      <c r="J55">
        <v>46200</v>
      </c>
    </row>
    <row r="56" spans="1:10" x14ac:dyDescent="0.25">
      <c r="A56" s="4" t="s">
        <v>403</v>
      </c>
      <c r="B56" s="4" t="s">
        <v>404</v>
      </c>
      <c r="C56" s="4" t="s">
        <v>405</v>
      </c>
      <c r="D56" s="4" t="s">
        <v>406</v>
      </c>
      <c r="E56" s="4" t="s">
        <v>407</v>
      </c>
      <c r="F56">
        <v>36900</v>
      </c>
      <c r="G56" s="4" t="s">
        <v>408</v>
      </c>
      <c r="H56" s="4" t="s">
        <v>409</v>
      </c>
      <c r="I56" s="4" t="s">
        <v>410</v>
      </c>
      <c r="J56">
        <v>40600</v>
      </c>
    </row>
    <row r="57" spans="1:10" x14ac:dyDescent="0.25">
      <c r="A57" s="4" t="s">
        <v>411</v>
      </c>
      <c r="B57" s="4" t="s">
        <v>412</v>
      </c>
      <c r="C57" s="4" t="s">
        <v>223</v>
      </c>
      <c r="D57" s="4" t="s">
        <v>413</v>
      </c>
      <c r="E57" s="4" t="s">
        <v>66</v>
      </c>
      <c r="F57">
        <v>15400</v>
      </c>
      <c r="G57" s="4" t="s">
        <v>33</v>
      </c>
      <c r="H57" s="4" t="s">
        <v>338</v>
      </c>
      <c r="I57" s="4" t="s">
        <v>414</v>
      </c>
      <c r="J57">
        <v>8750</v>
      </c>
    </row>
    <row r="58" spans="1:10" x14ac:dyDescent="0.25">
      <c r="A58" s="4" t="s">
        <v>415</v>
      </c>
      <c r="B58" s="4" t="s">
        <v>416</v>
      </c>
      <c r="C58" s="4" t="s">
        <v>156</v>
      </c>
      <c r="D58" s="4" t="s">
        <v>417</v>
      </c>
      <c r="E58" s="4" t="s">
        <v>163</v>
      </c>
      <c r="F58">
        <v>1660</v>
      </c>
      <c r="G58" s="4" t="s">
        <v>88</v>
      </c>
      <c r="H58" s="4" t="s">
        <v>418</v>
      </c>
      <c r="I58" s="4" t="s">
        <v>419</v>
      </c>
      <c r="J58">
        <v>562</v>
      </c>
    </row>
    <row r="59" spans="1:10" x14ac:dyDescent="0.25">
      <c r="A59" s="4" t="s">
        <v>420</v>
      </c>
      <c r="B59" s="4" t="s">
        <v>292</v>
      </c>
      <c r="C59" s="4" t="s">
        <v>103</v>
      </c>
      <c r="D59" s="4" t="s">
        <v>366</v>
      </c>
      <c r="E59" s="4" t="s">
        <v>421</v>
      </c>
      <c r="F59">
        <v>6730</v>
      </c>
      <c r="G59" s="4" t="s">
        <v>422</v>
      </c>
      <c r="H59" s="4" t="s">
        <v>423</v>
      </c>
      <c r="I59" s="4" t="s">
        <v>101</v>
      </c>
      <c r="J59">
        <v>2960</v>
      </c>
    </row>
    <row r="60" spans="1:10" x14ac:dyDescent="0.25">
      <c r="A60" s="4" t="s">
        <v>424</v>
      </c>
      <c r="B60" s="4" t="s">
        <v>404</v>
      </c>
      <c r="C60" s="4" t="s">
        <v>425</v>
      </c>
      <c r="D60" s="4" t="s">
        <v>221</v>
      </c>
      <c r="E60" s="4" t="s">
        <v>426</v>
      </c>
      <c r="F60">
        <v>40400</v>
      </c>
      <c r="G60" s="4" t="s">
        <v>427</v>
      </c>
      <c r="H60" s="4" t="s">
        <v>428</v>
      </c>
      <c r="I60" s="4" t="s">
        <v>429</v>
      </c>
      <c r="J60">
        <v>41800</v>
      </c>
    </row>
    <row r="61" spans="1:10" x14ac:dyDescent="0.25">
      <c r="A61" s="4" t="s">
        <v>430</v>
      </c>
      <c r="B61" s="4" t="s">
        <v>143</v>
      </c>
      <c r="C61" s="4" t="s">
        <v>431</v>
      </c>
      <c r="D61" s="4" t="s">
        <v>432</v>
      </c>
      <c r="E61" s="4" t="s">
        <v>433</v>
      </c>
      <c r="F61">
        <v>3060</v>
      </c>
      <c r="G61" s="4" t="s">
        <v>33</v>
      </c>
      <c r="H61" s="4" t="s">
        <v>434</v>
      </c>
      <c r="I61" s="4" t="s">
        <v>435</v>
      </c>
      <c r="J61">
        <v>1310</v>
      </c>
    </row>
    <row r="62" spans="1:10" x14ac:dyDescent="0.25">
      <c r="A62" s="4" t="s">
        <v>436</v>
      </c>
      <c r="B62" s="4" t="s">
        <v>437</v>
      </c>
      <c r="C62" s="4" t="s">
        <v>438</v>
      </c>
      <c r="D62" s="4" t="s">
        <v>57</v>
      </c>
      <c r="E62" s="4" t="s">
        <v>439</v>
      </c>
      <c r="F62">
        <v>28700</v>
      </c>
      <c r="G62" s="4" t="s">
        <v>440</v>
      </c>
      <c r="H62" s="4" t="s">
        <v>315</v>
      </c>
      <c r="I62" s="4" t="s">
        <v>441</v>
      </c>
      <c r="J62">
        <v>26900</v>
      </c>
    </row>
    <row r="63" spans="1:10" x14ac:dyDescent="0.25">
      <c r="A63" s="4" t="s">
        <v>442</v>
      </c>
      <c r="B63" s="4" t="s">
        <v>443</v>
      </c>
      <c r="C63" s="4" t="s">
        <v>156</v>
      </c>
      <c r="D63" s="4" t="s">
        <v>444</v>
      </c>
      <c r="E63" s="4" t="s">
        <v>445</v>
      </c>
      <c r="F63">
        <v>11200</v>
      </c>
      <c r="G63" s="4" t="s">
        <v>446</v>
      </c>
      <c r="H63" s="4" t="s">
        <v>447</v>
      </c>
      <c r="I63" s="4" t="s">
        <v>448</v>
      </c>
      <c r="J63">
        <v>7370</v>
      </c>
    </row>
    <row r="64" spans="1:10" x14ac:dyDescent="0.25">
      <c r="A64" s="4" t="s">
        <v>449</v>
      </c>
      <c r="B64" s="4" t="s">
        <v>450</v>
      </c>
      <c r="C64" s="4" t="s">
        <v>451</v>
      </c>
      <c r="D64" s="4" t="s">
        <v>452</v>
      </c>
      <c r="E64" s="4" t="s">
        <v>453</v>
      </c>
      <c r="F64">
        <v>6710</v>
      </c>
      <c r="G64" s="4" t="s">
        <v>454</v>
      </c>
      <c r="H64" s="4" t="s">
        <v>447</v>
      </c>
      <c r="I64" s="4" t="s">
        <v>455</v>
      </c>
      <c r="J64">
        <v>2830</v>
      </c>
    </row>
    <row r="65" spans="1:10" x14ac:dyDescent="0.25">
      <c r="A65" s="4" t="s">
        <v>456</v>
      </c>
      <c r="B65" s="4" t="s">
        <v>457</v>
      </c>
      <c r="C65" s="4" t="s">
        <v>458</v>
      </c>
      <c r="D65" s="4" t="s">
        <v>459</v>
      </c>
      <c r="E65" s="4" t="s">
        <v>460</v>
      </c>
      <c r="F65">
        <v>1190</v>
      </c>
      <c r="G65" s="4" t="s">
        <v>45</v>
      </c>
      <c r="H65" s="4" t="s">
        <v>461</v>
      </c>
      <c r="I65" s="4" t="s">
        <v>462</v>
      </c>
      <c r="J65">
        <v>648</v>
      </c>
    </row>
    <row r="66" spans="1:10" x14ac:dyDescent="0.25">
      <c r="A66" s="4" t="s">
        <v>463</v>
      </c>
      <c r="B66" s="4" t="s">
        <v>464</v>
      </c>
      <c r="C66" s="4" t="s">
        <v>465</v>
      </c>
      <c r="D66" s="4" t="s">
        <v>466</v>
      </c>
      <c r="E66" s="4" t="s">
        <v>467</v>
      </c>
      <c r="F66">
        <v>1390</v>
      </c>
      <c r="G66" s="4" t="s">
        <v>468</v>
      </c>
      <c r="H66" s="4" t="s">
        <v>469</v>
      </c>
      <c r="I66" s="4" t="s">
        <v>470</v>
      </c>
      <c r="J66">
        <v>547</v>
      </c>
    </row>
    <row r="67" spans="1:10" x14ac:dyDescent="0.25">
      <c r="A67" s="4" t="s">
        <v>471</v>
      </c>
      <c r="B67" s="4" t="s">
        <v>324</v>
      </c>
      <c r="C67" s="4" t="s">
        <v>134</v>
      </c>
      <c r="D67" s="4" t="s">
        <v>472</v>
      </c>
      <c r="E67" s="4" t="s">
        <v>275</v>
      </c>
      <c r="F67">
        <v>5840</v>
      </c>
      <c r="G67" s="4" t="s">
        <v>473</v>
      </c>
      <c r="H67" s="4" t="s">
        <v>418</v>
      </c>
      <c r="I67" s="4" t="s">
        <v>372</v>
      </c>
      <c r="J67">
        <v>3040</v>
      </c>
    </row>
    <row r="68" spans="1:10" x14ac:dyDescent="0.25">
      <c r="A68" s="4" t="s">
        <v>474</v>
      </c>
      <c r="B68" s="4" t="s">
        <v>475</v>
      </c>
      <c r="C68" s="4" t="s">
        <v>476</v>
      </c>
      <c r="D68" s="4" t="s">
        <v>371</v>
      </c>
      <c r="E68" s="4" t="s">
        <v>477</v>
      </c>
      <c r="F68">
        <v>1500</v>
      </c>
      <c r="G68" s="4" t="s">
        <v>478</v>
      </c>
      <c r="H68" s="4" t="s">
        <v>479</v>
      </c>
      <c r="I68" s="4" t="s">
        <v>480</v>
      </c>
      <c r="J68">
        <v>662</v>
      </c>
    </row>
    <row r="69" spans="1:10" x14ac:dyDescent="0.25">
      <c r="A69" s="4" t="s">
        <v>481</v>
      </c>
      <c r="B69" s="4" t="s">
        <v>482</v>
      </c>
      <c r="C69" s="4" t="s">
        <v>483</v>
      </c>
      <c r="D69" s="4" t="s">
        <v>484</v>
      </c>
      <c r="E69" s="4" t="s">
        <v>46</v>
      </c>
      <c r="F69">
        <v>22300</v>
      </c>
      <c r="G69" s="4" t="s">
        <v>123</v>
      </c>
      <c r="H69" s="4" t="s">
        <v>485</v>
      </c>
      <c r="I69" s="4" t="s">
        <v>486</v>
      </c>
      <c r="J69">
        <v>13100</v>
      </c>
    </row>
    <row r="70" spans="1:10" x14ac:dyDescent="0.25">
      <c r="A70" s="4" t="s">
        <v>487</v>
      </c>
      <c r="B70" s="4" t="s">
        <v>354</v>
      </c>
      <c r="C70" s="4" t="s">
        <v>488</v>
      </c>
      <c r="D70" s="4" t="s">
        <v>489</v>
      </c>
      <c r="E70" s="4" t="s">
        <v>319</v>
      </c>
      <c r="F70">
        <v>38800</v>
      </c>
      <c r="G70" s="4" t="s">
        <v>490</v>
      </c>
      <c r="H70" s="4" t="s">
        <v>85</v>
      </c>
      <c r="I70" s="4" t="s">
        <v>491</v>
      </c>
      <c r="J70">
        <v>41900</v>
      </c>
    </row>
    <row r="71" spans="1:10" x14ac:dyDescent="0.25">
      <c r="A71" s="4" t="s">
        <v>492</v>
      </c>
      <c r="B71" s="4" t="s">
        <v>493</v>
      </c>
      <c r="C71" s="4" t="s">
        <v>280</v>
      </c>
      <c r="D71" s="4" t="s">
        <v>494</v>
      </c>
      <c r="E71" s="4" t="s">
        <v>495</v>
      </c>
      <c r="F71">
        <v>4410</v>
      </c>
      <c r="G71" s="4" t="s">
        <v>496</v>
      </c>
      <c r="H71" s="4" t="s">
        <v>497</v>
      </c>
      <c r="I71" s="4" t="s">
        <v>354</v>
      </c>
      <c r="J71">
        <v>1350</v>
      </c>
    </row>
    <row r="72" spans="1:10" x14ac:dyDescent="0.25">
      <c r="A72" s="4" t="s">
        <v>498</v>
      </c>
      <c r="B72" s="4" t="s">
        <v>352</v>
      </c>
      <c r="C72" s="4" t="s">
        <v>499</v>
      </c>
      <c r="D72" s="4" t="s">
        <v>500</v>
      </c>
      <c r="E72" s="4" t="s">
        <v>53</v>
      </c>
      <c r="F72">
        <v>8430</v>
      </c>
      <c r="G72" s="4" t="s">
        <v>476</v>
      </c>
      <c r="H72" s="4" t="s">
        <v>501</v>
      </c>
      <c r="I72" s="4" t="s">
        <v>502</v>
      </c>
      <c r="J72">
        <v>3110</v>
      </c>
    </row>
    <row r="73" spans="1:10" x14ac:dyDescent="0.25">
      <c r="A73" s="4" t="s">
        <v>503</v>
      </c>
      <c r="B73" s="4" t="s">
        <v>504</v>
      </c>
      <c r="C73" s="4" t="s">
        <v>505</v>
      </c>
      <c r="D73" s="4" t="s">
        <v>241</v>
      </c>
      <c r="E73" s="4" t="s">
        <v>506</v>
      </c>
      <c r="F73">
        <v>17400</v>
      </c>
      <c r="G73" s="4" t="s">
        <v>286</v>
      </c>
      <c r="H73" s="4" t="s">
        <v>485</v>
      </c>
      <c r="I73" s="4" t="s">
        <v>507</v>
      </c>
      <c r="J73">
        <v>6530</v>
      </c>
    </row>
    <row r="74" spans="1:10" x14ac:dyDescent="0.25">
      <c r="A74" s="4" t="s">
        <v>508</v>
      </c>
      <c r="B74" s="4" t="s">
        <v>509</v>
      </c>
      <c r="C74" s="4" t="s">
        <v>510</v>
      </c>
      <c r="D74" s="4" t="s">
        <v>193</v>
      </c>
      <c r="E74" s="4" t="s">
        <v>511</v>
      </c>
      <c r="F74">
        <v>12700</v>
      </c>
      <c r="G74" s="4" t="s">
        <v>33</v>
      </c>
      <c r="H74" s="4" t="s">
        <v>512</v>
      </c>
      <c r="I74" s="4" t="s">
        <v>513</v>
      </c>
      <c r="J74">
        <v>4500</v>
      </c>
    </row>
    <row r="75" spans="1:10" x14ac:dyDescent="0.25">
      <c r="A75" s="4" t="s">
        <v>514</v>
      </c>
      <c r="B75" s="4" t="s">
        <v>404</v>
      </c>
      <c r="C75" s="4" t="s">
        <v>515</v>
      </c>
      <c r="D75" s="4" t="s">
        <v>516</v>
      </c>
      <c r="E75" s="4" t="s">
        <v>517</v>
      </c>
      <c r="F75">
        <v>45700</v>
      </c>
      <c r="G75" s="4" t="s">
        <v>518</v>
      </c>
      <c r="H75" s="4" t="s">
        <v>315</v>
      </c>
      <c r="I75" s="4" t="s">
        <v>519</v>
      </c>
      <c r="J75">
        <v>48700</v>
      </c>
    </row>
    <row r="76" spans="1:10" x14ac:dyDescent="0.25">
      <c r="A76" s="4" t="s">
        <v>520</v>
      </c>
      <c r="B76" s="4" t="s">
        <v>521</v>
      </c>
      <c r="C76" s="4" t="s">
        <v>103</v>
      </c>
      <c r="D76" s="4" t="s">
        <v>522</v>
      </c>
      <c r="E76" s="4" t="s">
        <v>523</v>
      </c>
      <c r="F76">
        <v>29600</v>
      </c>
      <c r="G76" s="4" t="s">
        <v>524</v>
      </c>
      <c r="H76" s="4" t="s">
        <v>409</v>
      </c>
      <c r="I76" s="4" t="s">
        <v>525</v>
      </c>
      <c r="J76">
        <v>30600</v>
      </c>
    </row>
    <row r="77" spans="1:10" x14ac:dyDescent="0.25">
      <c r="A77" s="4" t="s">
        <v>526</v>
      </c>
      <c r="B77" s="4" t="s">
        <v>527</v>
      </c>
      <c r="C77" s="4" t="s">
        <v>528</v>
      </c>
      <c r="D77" s="4" t="s">
        <v>529</v>
      </c>
      <c r="E77" s="4" t="s">
        <v>530</v>
      </c>
      <c r="F77">
        <v>36200</v>
      </c>
      <c r="G77" s="4" t="s">
        <v>531</v>
      </c>
      <c r="H77" s="4" t="s">
        <v>532</v>
      </c>
      <c r="I77" s="4" t="s">
        <v>533</v>
      </c>
      <c r="J77">
        <v>35800</v>
      </c>
    </row>
    <row r="78" spans="1:10" x14ac:dyDescent="0.25">
      <c r="A78" s="4" t="s">
        <v>534</v>
      </c>
      <c r="B78" s="4" t="s">
        <v>73</v>
      </c>
      <c r="C78" s="4" t="s">
        <v>273</v>
      </c>
      <c r="D78" s="4" t="s">
        <v>535</v>
      </c>
      <c r="E78" s="4" t="s">
        <v>301</v>
      </c>
      <c r="F78">
        <v>8000</v>
      </c>
      <c r="G78" s="4" t="s">
        <v>536</v>
      </c>
      <c r="H78" s="4" t="s">
        <v>143</v>
      </c>
      <c r="I78" s="4" t="s">
        <v>537</v>
      </c>
      <c r="J78">
        <v>4680</v>
      </c>
    </row>
    <row r="79" spans="1:10" x14ac:dyDescent="0.25">
      <c r="A79" s="4" t="s">
        <v>538</v>
      </c>
      <c r="B79" s="4" t="s">
        <v>176</v>
      </c>
      <c r="C79" s="4" t="s">
        <v>539</v>
      </c>
      <c r="D79" s="4" t="s">
        <v>540</v>
      </c>
      <c r="E79" s="4" t="s">
        <v>541</v>
      </c>
      <c r="F79">
        <v>35800</v>
      </c>
      <c r="G79" s="4" t="s">
        <v>542</v>
      </c>
      <c r="H79" s="4" t="s">
        <v>543</v>
      </c>
      <c r="I79" s="4" t="s">
        <v>429</v>
      </c>
      <c r="J79">
        <v>44500</v>
      </c>
    </row>
    <row r="80" spans="1:10" x14ac:dyDescent="0.25">
      <c r="A80" s="4" t="s">
        <v>544</v>
      </c>
      <c r="B80" s="4" t="s">
        <v>545</v>
      </c>
      <c r="C80" s="4" t="s">
        <v>546</v>
      </c>
      <c r="D80" s="4" t="s">
        <v>547</v>
      </c>
      <c r="E80" s="4" t="s">
        <v>548</v>
      </c>
      <c r="F80">
        <v>9470</v>
      </c>
      <c r="G80" s="4" t="s">
        <v>549</v>
      </c>
      <c r="H80" s="4" t="s">
        <v>70</v>
      </c>
      <c r="I80" s="4" t="s">
        <v>550</v>
      </c>
      <c r="J80">
        <v>3680</v>
      </c>
    </row>
    <row r="81" spans="1:10" x14ac:dyDescent="0.25">
      <c r="A81" s="4" t="s">
        <v>551</v>
      </c>
      <c r="B81" s="4" t="s">
        <v>552</v>
      </c>
      <c r="C81" s="4" t="s">
        <v>553</v>
      </c>
      <c r="D81" s="4" t="s">
        <v>554</v>
      </c>
      <c r="E81" s="4" t="s">
        <v>555</v>
      </c>
      <c r="F81">
        <v>20100</v>
      </c>
      <c r="G81" s="4" t="s">
        <v>556</v>
      </c>
      <c r="H81" s="4" t="s">
        <v>557</v>
      </c>
      <c r="I81" s="4" t="s">
        <v>354</v>
      </c>
      <c r="J81">
        <v>9070</v>
      </c>
    </row>
    <row r="82" spans="1:10" x14ac:dyDescent="0.25">
      <c r="A82" s="4" t="s">
        <v>558</v>
      </c>
      <c r="B82" s="4" t="s">
        <v>434</v>
      </c>
      <c r="C82" s="4" t="s">
        <v>98</v>
      </c>
      <c r="D82" s="4" t="s">
        <v>297</v>
      </c>
      <c r="E82" s="4" t="s">
        <v>559</v>
      </c>
      <c r="F82">
        <v>2480</v>
      </c>
      <c r="G82" s="4" t="s">
        <v>560</v>
      </c>
      <c r="H82" s="4" t="s">
        <v>561</v>
      </c>
      <c r="I82" s="4" t="s">
        <v>562</v>
      </c>
      <c r="J82">
        <v>967</v>
      </c>
    </row>
    <row r="83" spans="1:10" x14ac:dyDescent="0.25">
      <c r="A83" s="4" t="s">
        <v>563</v>
      </c>
      <c r="B83" s="4" t="s">
        <v>564</v>
      </c>
      <c r="C83" s="4" t="s">
        <v>565</v>
      </c>
      <c r="D83" s="4" t="s">
        <v>243</v>
      </c>
      <c r="E83" s="4" t="s">
        <v>332</v>
      </c>
      <c r="F83">
        <v>1730</v>
      </c>
      <c r="G83" s="4" t="s">
        <v>566</v>
      </c>
      <c r="H83" s="4" t="s">
        <v>567</v>
      </c>
      <c r="I83" s="4" t="s">
        <v>568</v>
      </c>
      <c r="J83">
        <v>1490</v>
      </c>
    </row>
    <row r="84" spans="1:10" x14ac:dyDescent="0.25">
      <c r="A84" s="4" t="s">
        <v>569</v>
      </c>
      <c r="B84" s="4" t="s">
        <v>204</v>
      </c>
      <c r="C84" s="4" t="s">
        <v>570</v>
      </c>
      <c r="D84" s="4" t="s">
        <v>571</v>
      </c>
      <c r="E84" s="4" t="s">
        <v>572</v>
      </c>
      <c r="F84">
        <v>75200</v>
      </c>
      <c r="G84" s="4" t="s">
        <v>573</v>
      </c>
      <c r="H84" s="4" t="s">
        <v>574</v>
      </c>
      <c r="I84" s="4" t="s">
        <v>575</v>
      </c>
      <c r="J84">
        <v>38500</v>
      </c>
    </row>
    <row r="85" spans="1:10" x14ac:dyDescent="0.25">
      <c r="A85" s="4" t="s">
        <v>576</v>
      </c>
      <c r="B85" s="4" t="s">
        <v>215</v>
      </c>
      <c r="C85" s="4" t="s">
        <v>577</v>
      </c>
      <c r="D85" s="4" t="s">
        <v>578</v>
      </c>
      <c r="E85" s="4" t="s">
        <v>532</v>
      </c>
      <c r="F85">
        <v>2790</v>
      </c>
      <c r="G85" s="4" t="s">
        <v>26</v>
      </c>
      <c r="H85" s="4" t="s">
        <v>579</v>
      </c>
      <c r="I85" s="4" t="s">
        <v>580</v>
      </c>
      <c r="J85">
        <v>880</v>
      </c>
    </row>
    <row r="86" spans="1:10" x14ac:dyDescent="0.25">
      <c r="A86" s="4" t="s">
        <v>581</v>
      </c>
      <c r="B86" s="4" t="s">
        <v>582</v>
      </c>
      <c r="C86" s="4" t="s">
        <v>450</v>
      </c>
      <c r="D86" s="4" t="s">
        <v>583</v>
      </c>
      <c r="E86" s="4" t="s">
        <v>584</v>
      </c>
      <c r="F86">
        <v>3980</v>
      </c>
      <c r="G86" s="4" t="s">
        <v>585</v>
      </c>
      <c r="H86" s="4" t="s">
        <v>586</v>
      </c>
      <c r="I86" s="4" t="s">
        <v>587</v>
      </c>
      <c r="J86">
        <v>1140</v>
      </c>
    </row>
    <row r="87" spans="1:10" x14ac:dyDescent="0.25">
      <c r="A87" s="4" t="s">
        <v>588</v>
      </c>
      <c r="B87" s="4" t="s">
        <v>589</v>
      </c>
      <c r="C87" s="4" t="s">
        <v>590</v>
      </c>
      <c r="D87" s="4" t="s">
        <v>591</v>
      </c>
      <c r="E87" s="4" t="s">
        <v>592</v>
      </c>
      <c r="F87">
        <v>18300</v>
      </c>
      <c r="G87" s="4" t="s">
        <v>593</v>
      </c>
      <c r="H87" s="4" t="s">
        <v>594</v>
      </c>
      <c r="I87" s="4" t="s">
        <v>595</v>
      </c>
      <c r="J87">
        <v>11300</v>
      </c>
    </row>
    <row r="88" spans="1:10" x14ac:dyDescent="0.25">
      <c r="A88" s="4" t="s">
        <v>596</v>
      </c>
      <c r="B88" s="4" t="s">
        <v>57</v>
      </c>
      <c r="C88" s="4" t="s">
        <v>597</v>
      </c>
      <c r="D88" s="4" t="s">
        <v>598</v>
      </c>
      <c r="E88" s="4" t="s">
        <v>599</v>
      </c>
      <c r="F88">
        <v>16300</v>
      </c>
      <c r="G88" s="4" t="s">
        <v>600</v>
      </c>
      <c r="H88" s="4" t="s">
        <v>601</v>
      </c>
      <c r="I88" s="4" t="s">
        <v>602</v>
      </c>
      <c r="J88">
        <v>8860</v>
      </c>
    </row>
    <row r="89" spans="1:10" x14ac:dyDescent="0.25">
      <c r="A89" s="4" t="s">
        <v>603</v>
      </c>
      <c r="B89" s="4" t="s">
        <v>604</v>
      </c>
      <c r="C89" s="4" t="s">
        <v>510</v>
      </c>
      <c r="D89" s="4" t="s">
        <v>180</v>
      </c>
      <c r="E89" s="4" t="s">
        <v>605</v>
      </c>
      <c r="F89">
        <v>2380</v>
      </c>
      <c r="G89" s="4" t="s">
        <v>606</v>
      </c>
      <c r="H89" s="4" t="s">
        <v>607</v>
      </c>
      <c r="I89" s="4" t="s">
        <v>608</v>
      </c>
      <c r="J89">
        <v>1170</v>
      </c>
    </row>
    <row r="90" spans="1:10" x14ac:dyDescent="0.25">
      <c r="A90" s="4" t="s">
        <v>609</v>
      </c>
      <c r="B90" s="4" t="s">
        <v>610</v>
      </c>
      <c r="C90" s="4" t="s">
        <v>611</v>
      </c>
      <c r="D90" s="4" t="s">
        <v>192</v>
      </c>
      <c r="E90" s="4" t="s">
        <v>612</v>
      </c>
      <c r="F90">
        <v>700</v>
      </c>
      <c r="G90" s="4" t="s">
        <v>490</v>
      </c>
      <c r="H90" s="4" t="s">
        <v>613</v>
      </c>
      <c r="I90" s="4" t="s">
        <v>614</v>
      </c>
      <c r="J90">
        <v>327</v>
      </c>
    </row>
    <row r="91" spans="1:10" x14ac:dyDescent="0.25">
      <c r="A91" s="4" t="s">
        <v>615</v>
      </c>
      <c r="B91" s="4" t="s">
        <v>33</v>
      </c>
      <c r="C91" s="4" t="s">
        <v>616</v>
      </c>
      <c r="D91" s="4" t="s">
        <v>617</v>
      </c>
      <c r="E91" s="4" t="s">
        <v>618</v>
      </c>
      <c r="F91">
        <v>29600</v>
      </c>
      <c r="G91" s="4" t="s">
        <v>125</v>
      </c>
      <c r="H91" s="4" t="s">
        <v>619</v>
      </c>
      <c r="I91" s="4" t="s">
        <v>620</v>
      </c>
      <c r="J91">
        <v>12100</v>
      </c>
    </row>
    <row r="92" spans="1:10" x14ac:dyDescent="0.25">
      <c r="A92" s="4" t="s">
        <v>621</v>
      </c>
      <c r="B92" s="4" t="s">
        <v>622</v>
      </c>
      <c r="C92" s="4" t="s">
        <v>396</v>
      </c>
      <c r="D92" s="4" t="s">
        <v>623</v>
      </c>
      <c r="E92" s="4" t="s">
        <v>512</v>
      </c>
      <c r="F92">
        <v>21100</v>
      </c>
      <c r="G92" s="4" t="s">
        <v>168</v>
      </c>
      <c r="H92" s="4" t="s">
        <v>624</v>
      </c>
      <c r="I92" s="4" t="s">
        <v>625</v>
      </c>
      <c r="J92">
        <v>12000</v>
      </c>
    </row>
    <row r="93" spans="1:10" x14ac:dyDescent="0.25">
      <c r="A93" s="4" t="s">
        <v>626</v>
      </c>
      <c r="B93" s="4" t="s">
        <v>627</v>
      </c>
      <c r="C93" s="4" t="s">
        <v>628</v>
      </c>
      <c r="D93" s="4" t="s">
        <v>77</v>
      </c>
      <c r="E93" s="4" t="s">
        <v>629</v>
      </c>
      <c r="F93">
        <v>91700</v>
      </c>
      <c r="G93" s="4" t="s">
        <v>630</v>
      </c>
      <c r="H93" s="4" t="s">
        <v>246</v>
      </c>
      <c r="I93" s="4" t="s">
        <v>247</v>
      </c>
      <c r="J93">
        <v>105000</v>
      </c>
    </row>
    <row r="94" spans="1:10" x14ac:dyDescent="0.25">
      <c r="A94" s="4" t="s">
        <v>631</v>
      </c>
      <c r="B94" s="4" t="s">
        <v>632</v>
      </c>
      <c r="C94" s="4" t="s">
        <v>633</v>
      </c>
      <c r="D94" s="4" t="s">
        <v>634</v>
      </c>
      <c r="E94" s="4" t="s">
        <v>635</v>
      </c>
      <c r="F94">
        <v>11400</v>
      </c>
      <c r="G94" s="4" t="s">
        <v>636</v>
      </c>
      <c r="H94" s="4" t="s">
        <v>637</v>
      </c>
      <c r="I94" s="4" t="s">
        <v>638</v>
      </c>
      <c r="J94">
        <v>4540</v>
      </c>
    </row>
    <row r="95" spans="1:10" x14ac:dyDescent="0.25">
      <c r="A95" s="4" t="s">
        <v>639</v>
      </c>
      <c r="B95" s="4" t="s">
        <v>434</v>
      </c>
      <c r="C95" s="4" t="s">
        <v>640</v>
      </c>
      <c r="D95" s="4" t="s">
        <v>641</v>
      </c>
      <c r="E95" s="4" t="s">
        <v>642</v>
      </c>
      <c r="F95">
        <v>1390</v>
      </c>
      <c r="G95" s="4" t="s">
        <v>643</v>
      </c>
      <c r="H95" s="4" t="s">
        <v>613</v>
      </c>
      <c r="I95" s="4" t="s">
        <v>521</v>
      </c>
      <c r="J95">
        <v>413</v>
      </c>
    </row>
    <row r="96" spans="1:10" x14ac:dyDescent="0.25">
      <c r="A96" s="4" t="s">
        <v>644</v>
      </c>
      <c r="B96" s="4" t="s">
        <v>645</v>
      </c>
      <c r="C96" s="4" t="s">
        <v>646</v>
      </c>
      <c r="D96" s="4" t="s">
        <v>268</v>
      </c>
      <c r="E96" s="4" t="s">
        <v>647</v>
      </c>
      <c r="F96">
        <v>1030</v>
      </c>
      <c r="G96" s="4" t="s">
        <v>648</v>
      </c>
      <c r="H96" s="4" t="s">
        <v>649</v>
      </c>
      <c r="I96" s="4" t="s">
        <v>650</v>
      </c>
      <c r="J96">
        <v>459</v>
      </c>
    </row>
    <row r="97" spans="1:10" x14ac:dyDescent="0.25">
      <c r="A97" s="4" t="s">
        <v>651</v>
      </c>
      <c r="B97" s="4" t="s">
        <v>652</v>
      </c>
      <c r="C97" s="4" t="s">
        <v>653</v>
      </c>
      <c r="D97" s="4" t="s">
        <v>654</v>
      </c>
      <c r="E97" s="4" t="s">
        <v>655</v>
      </c>
      <c r="F97">
        <v>21100</v>
      </c>
      <c r="G97" s="4" t="s">
        <v>656</v>
      </c>
      <c r="H97" s="4" t="s">
        <v>485</v>
      </c>
      <c r="I97" s="4" t="s">
        <v>657</v>
      </c>
      <c r="J97">
        <v>9070</v>
      </c>
    </row>
    <row r="98" spans="1:10" x14ac:dyDescent="0.25">
      <c r="A98" s="4" t="s">
        <v>658</v>
      </c>
      <c r="B98" s="4" t="s">
        <v>659</v>
      </c>
      <c r="C98" s="4" t="s">
        <v>660</v>
      </c>
      <c r="D98" s="4" t="s">
        <v>661</v>
      </c>
      <c r="E98" s="4" t="s">
        <v>662</v>
      </c>
      <c r="F98">
        <v>10500</v>
      </c>
      <c r="G98" s="4" t="s">
        <v>189</v>
      </c>
      <c r="H98" s="4" t="s">
        <v>663</v>
      </c>
      <c r="I98" s="4" t="s">
        <v>664</v>
      </c>
      <c r="J98">
        <v>7100</v>
      </c>
    </row>
    <row r="99" spans="1:10" x14ac:dyDescent="0.25">
      <c r="A99" s="4" t="s">
        <v>665</v>
      </c>
      <c r="B99" s="4" t="s">
        <v>666</v>
      </c>
      <c r="C99" s="4" t="s">
        <v>646</v>
      </c>
      <c r="D99" s="4" t="s">
        <v>667</v>
      </c>
      <c r="E99" s="4" t="s">
        <v>668</v>
      </c>
      <c r="F99">
        <v>1870</v>
      </c>
      <c r="G99" s="4" t="s">
        <v>562</v>
      </c>
      <c r="H99" s="4" t="s">
        <v>229</v>
      </c>
      <c r="I99" s="4" t="s">
        <v>35</v>
      </c>
      <c r="J99">
        <v>708</v>
      </c>
    </row>
    <row r="100" spans="1:10" x14ac:dyDescent="0.25">
      <c r="A100" s="4" t="s">
        <v>669</v>
      </c>
      <c r="B100" s="4" t="s">
        <v>670</v>
      </c>
      <c r="C100" s="4" t="s">
        <v>671</v>
      </c>
      <c r="D100" s="4" t="s">
        <v>672</v>
      </c>
      <c r="E100" s="4" t="s">
        <v>673</v>
      </c>
      <c r="F100">
        <v>28300</v>
      </c>
      <c r="G100" s="4" t="s">
        <v>674</v>
      </c>
      <c r="H100" s="4" t="s">
        <v>416</v>
      </c>
      <c r="I100" s="4" t="s">
        <v>595</v>
      </c>
      <c r="J100">
        <v>21100</v>
      </c>
    </row>
    <row r="101" spans="1:10" x14ac:dyDescent="0.25">
      <c r="A101" s="4" t="s">
        <v>675</v>
      </c>
      <c r="B101" s="4" t="s">
        <v>676</v>
      </c>
      <c r="C101" s="4" t="s">
        <v>677</v>
      </c>
      <c r="D101" s="4" t="s">
        <v>678</v>
      </c>
      <c r="E101" s="4" t="s">
        <v>679</v>
      </c>
      <c r="F101">
        <v>3320</v>
      </c>
      <c r="G101" s="4" t="s">
        <v>66</v>
      </c>
      <c r="H101" s="4" t="s">
        <v>680</v>
      </c>
      <c r="I101" s="4" t="s">
        <v>667</v>
      </c>
      <c r="J101">
        <v>1200</v>
      </c>
    </row>
    <row r="102" spans="1:10" x14ac:dyDescent="0.25">
      <c r="A102" s="4" t="s">
        <v>681</v>
      </c>
      <c r="B102" s="4" t="s">
        <v>539</v>
      </c>
      <c r="C102" s="4" t="s">
        <v>682</v>
      </c>
      <c r="D102" s="4" t="s">
        <v>482</v>
      </c>
      <c r="E102" s="4" t="s">
        <v>434</v>
      </c>
      <c r="F102">
        <v>15900</v>
      </c>
      <c r="G102" s="4" t="s">
        <v>683</v>
      </c>
      <c r="H102" s="4" t="s">
        <v>684</v>
      </c>
      <c r="I102" s="4" t="s">
        <v>210</v>
      </c>
      <c r="J102">
        <v>8000</v>
      </c>
    </row>
    <row r="103" spans="1:10" x14ac:dyDescent="0.25">
      <c r="A103" s="4" t="s">
        <v>685</v>
      </c>
      <c r="B103" s="4" t="s">
        <v>686</v>
      </c>
      <c r="C103" s="4" t="s">
        <v>687</v>
      </c>
      <c r="D103" s="4" t="s">
        <v>125</v>
      </c>
      <c r="E103" s="4" t="s">
        <v>688</v>
      </c>
      <c r="F103">
        <v>3340</v>
      </c>
      <c r="G103" s="4" t="s">
        <v>689</v>
      </c>
      <c r="H103" s="4" t="s">
        <v>662</v>
      </c>
      <c r="I103" s="4" t="s">
        <v>690</v>
      </c>
      <c r="J103">
        <v>2860</v>
      </c>
    </row>
    <row r="104" spans="1:10" x14ac:dyDescent="0.25">
      <c r="A104" s="4" t="s">
        <v>691</v>
      </c>
      <c r="B104" s="4" t="s">
        <v>692</v>
      </c>
      <c r="C104" s="4" t="s">
        <v>95</v>
      </c>
      <c r="D104" s="4" t="s">
        <v>693</v>
      </c>
      <c r="E104" s="4" t="s">
        <v>694</v>
      </c>
      <c r="F104">
        <v>3910</v>
      </c>
      <c r="G104" s="4" t="s">
        <v>180</v>
      </c>
      <c r="H104" s="4" t="s">
        <v>695</v>
      </c>
      <c r="I104" s="4" t="s">
        <v>696</v>
      </c>
      <c r="J104">
        <v>1630</v>
      </c>
    </row>
    <row r="105" spans="1:10" x14ac:dyDescent="0.25">
      <c r="A105" s="4" t="s">
        <v>697</v>
      </c>
      <c r="B105" s="4" t="s">
        <v>698</v>
      </c>
      <c r="C105" s="4" t="s">
        <v>699</v>
      </c>
      <c r="D105" s="4" t="s">
        <v>353</v>
      </c>
      <c r="E105" s="4" t="s">
        <v>700</v>
      </c>
      <c r="F105">
        <v>7710</v>
      </c>
      <c r="G105" s="4" t="s">
        <v>95</v>
      </c>
      <c r="H105" s="4" t="s">
        <v>497</v>
      </c>
      <c r="I105" s="4" t="s">
        <v>701</v>
      </c>
      <c r="J105">
        <v>2650</v>
      </c>
    </row>
    <row r="106" spans="1:10" x14ac:dyDescent="0.25">
      <c r="A106" s="4" t="s">
        <v>702</v>
      </c>
      <c r="B106" s="4" t="s">
        <v>670</v>
      </c>
      <c r="C106" s="4" t="s">
        <v>703</v>
      </c>
      <c r="D106" s="4" t="s">
        <v>704</v>
      </c>
      <c r="E106" s="4" t="s">
        <v>564</v>
      </c>
      <c r="F106">
        <v>14000</v>
      </c>
      <c r="G106" s="4" t="s">
        <v>705</v>
      </c>
      <c r="H106" s="4" t="s">
        <v>141</v>
      </c>
      <c r="I106" s="4" t="s">
        <v>524</v>
      </c>
      <c r="J106">
        <v>6680</v>
      </c>
    </row>
    <row r="107" spans="1:10" x14ac:dyDescent="0.25">
      <c r="A107" s="4" t="s">
        <v>706</v>
      </c>
      <c r="B107" s="4" t="s">
        <v>707</v>
      </c>
      <c r="C107" s="4" t="s">
        <v>708</v>
      </c>
      <c r="D107" s="4" t="s">
        <v>149</v>
      </c>
      <c r="E107" s="4" t="s">
        <v>642</v>
      </c>
      <c r="F107">
        <v>6440</v>
      </c>
      <c r="G107" s="4" t="s">
        <v>709</v>
      </c>
      <c r="H107" s="4" t="s">
        <v>710</v>
      </c>
      <c r="I107" s="4" t="s">
        <v>711</v>
      </c>
      <c r="J107">
        <v>2830</v>
      </c>
    </row>
    <row r="108" spans="1:10" x14ac:dyDescent="0.25">
      <c r="A108" s="4" t="s">
        <v>712</v>
      </c>
      <c r="B108" s="4" t="s">
        <v>605</v>
      </c>
      <c r="C108" s="4" t="s">
        <v>713</v>
      </c>
      <c r="D108" s="4" t="s">
        <v>260</v>
      </c>
      <c r="E108" s="4" t="s">
        <v>714</v>
      </c>
      <c r="F108">
        <v>918</v>
      </c>
      <c r="G108" s="4" t="s">
        <v>715</v>
      </c>
      <c r="H108" s="4" t="s">
        <v>716</v>
      </c>
      <c r="I108" s="4" t="s">
        <v>717</v>
      </c>
      <c r="J108">
        <v>419</v>
      </c>
    </row>
    <row r="109" spans="1:10" x14ac:dyDescent="0.25">
      <c r="A109" s="4" t="s">
        <v>718</v>
      </c>
      <c r="B109" s="4" t="s">
        <v>719</v>
      </c>
      <c r="C109" s="4" t="s">
        <v>720</v>
      </c>
      <c r="D109" s="4" t="s">
        <v>721</v>
      </c>
      <c r="E109" s="4" t="s">
        <v>722</v>
      </c>
      <c r="F109">
        <v>3720</v>
      </c>
      <c r="G109" s="4" t="s">
        <v>623</v>
      </c>
      <c r="H109" s="4" t="s">
        <v>723</v>
      </c>
      <c r="I109" s="4" t="s">
        <v>620</v>
      </c>
      <c r="J109">
        <v>988</v>
      </c>
    </row>
    <row r="110" spans="1:10" x14ac:dyDescent="0.25">
      <c r="A110" s="4" t="s">
        <v>724</v>
      </c>
      <c r="B110" s="4" t="s">
        <v>725</v>
      </c>
      <c r="C110" s="4" t="s">
        <v>91</v>
      </c>
      <c r="D110" s="4" t="s">
        <v>726</v>
      </c>
      <c r="E110" s="4" t="s">
        <v>567</v>
      </c>
      <c r="F110">
        <v>8460</v>
      </c>
      <c r="G110" s="4" t="s">
        <v>727</v>
      </c>
      <c r="H110" s="4" t="s">
        <v>728</v>
      </c>
      <c r="I110" s="4" t="s">
        <v>330</v>
      </c>
      <c r="J110">
        <v>5190</v>
      </c>
    </row>
    <row r="111" spans="1:10" x14ac:dyDescent="0.25">
      <c r="A111" s="4" t="s">
        <v>729</v>
      </c>
      <c r="B111" s="4" t="s">
        <v>730</v>
      </c>
      <c r="C111" s="4" t="s">
        <v>731</v>
      </c>
      <c r="D111" s="4" t="s">
        <v>732</v>
      </c>
      <c r="E111" s="4" t="s">
        <v>733</v>
      </c>
      <c r="F111">
        <v>1990</v>
      </c>
      <c r="G111" s="4" t="s">
        <v>137</v>
      </c>
      <c r="H111" s="4" t="s">
        <v>734</v>
      </c>
      <c r="I111" s="4" t="s">
        <v>500</v>
      </c>
      <c r="J111">
        <v>592</v>
      </c>
    </row>
    <row r="112" spans="1:10" x14ac:dyDescent="0.25">
      <c r="A112" s="4" t="s">
        <v>735</v>
      </c>
      <c r="B112" s="4" t="s">
        <v>140</v>
      </c>
      <c r="C112" s="4" t="s">
        <v>736</v>
      </c>
      <c r="D112" s="4" t="s">
        <v>406</v>
      </c>
      <c r="E112" s="4" t="s">
        <v>737</v>
      </c>
      <c r="F112">
        <v>45500</v>
      </c>
      <c r="G112" s="4" t="s">
        <v>738</v>
      </c>
      <c r="H112" s="4" t="s">
        <v>739</v>
      </c>
      <c r="I112" s="4" t="s">
        <v>740</v>
      </c>
      <c r="J112">
        <v>50300</v>
      </c>
    </row>
    <row r="113" spans="1:10" x14ac:dyDescent="0.25">
      <c r="A113" s="4" t="s">
        <v>741</v>
      </c>
      <c r="B113" s="4" t="s">
        <v>742</v>
      </c>
      <c r="C113" s="4" t="s">
        <v>458</v>
      </c>
      <c r="D113" s="4" t="s">
        <v>366</v>
      </c>
      <c r="E113" s="4" t="s">
        <v>34</v>
      </c>
      <c r="F113">
        <v>32300</v>
      </c>
      <c r="G113" s="4" t="s">
        <v>743</v>
      </c>
      <c r="H113" s="4" t="s">
        <v>744</v>
      </c>
      <c r="I113" s="4" t="s">
        <v>537</v>
      </c>
      <c r="J113">
        <v>33700</v>
      </c>
    </row>
    <row r="114" spans="1:10" x14ac:dyDescent="0.25">
      <c r="A114" s="4" t="s">
        <v>745</v>
      </c>
      <c r="B114" s="4" t="s">
        <v>746</v>
      </c>
      <c r="C114" s="4" t="s">
        <v>234</v>
      </c>
      <c r="D114" s="4" t="s">
        <v>747</v>
      </c>
      <c r="E114" s="4" t="s">
        <v>748</v>
      </c>
      <c r="F114">
        <v>814</v>
      </c>
      <c r="G114" s="4" t="s">
        <v>749</v>
      </c>
      <c r="H114" s="4" t="s">
        <v>493</v>
      </c>
      <c r="I114" s="4" t="s">
        <v>750</v>
      </c>
      <c r="J114">
        <v>348</v>
      </c>
    </row>
    <row r="115" spans="1:10" x14ac:dyDescent="0.25">
      <c r="A115" s="4" t="s">
        <v>751</v>
      </c>
      <c r="B115" s="4" t="s">
        <v>752</v>
      </c>
      <c r="C115" s="4" t="s">
        <v>753</v>
      </c>
      <c r="D115" s="4" t="s">
        <v>279</v>
      </c>
      <c r="E115" s="4" t="s">
        <v>754</v>
      </c>
      <c r="F115">
        <v>5150</v>
      </c>
      <c r="G115" s="4" t="s">
        <v>755</v>
      </c>
      <c r="H115" s="4" t="s">
        <v>756</v>
      </c>
      <c r="I115" s="4" t="s">
        <v>757</v>
      </c>
      <c r="J115">
        <v>2330</v>
      </c>
    </row>
    <row r="116" spans="1:10" x14ac:dyDescent="0.25">
      <c r="A116" s="4" t="s">
        <v>758</v>
      </c>
      <c r="B116" s="4" t="s">
        <v>176</v>
      </c>
      <c r="C116" s="4" t="s">
        <v>759</v>
      </c>
      <c r="D116" s="4" t="s">
        <v>760</v>
      </c>
      <c r="E116" s="4" t="s">
        <v>761</v>
      </c>
      <c r="F116">
        <v>62300</v>
      </c>
      <c r="G116" s="4" t="s">
        <v>762</v>
      </c>
      <c r="H116" s="4" t="s">
        <v>688</v>
      </c>
      <c r="I116" s="4" t="s">
        <v>763</v>
      </c>
      <c r="J116">
        <v>87800</v>
      </c>
    </row>
    <row r="117" spans="1:10" x14ac:dyDescent="0.25">
      <c r="A117" s="4" t="s">
        <v>764</v>
      </c>
      <c r="B117" s="4" t="s">
        <v>693</v>
      </c>
      <c r="C117" s="4" t="s">
        <v>765</v>
      </c>
      <c r="D117" s="4" t="s">
        <v>766</v>
      </c>
      <c r="E117" s="4" t="s">
        <v>171</v>
      </c>
      <c r="F117">
        <v>45300</v>
      </c>
      <c r="G117" s="4" t="s">
        <v>767</v>
      </c>
      <c r="H117" s="4" t="s">
        <v>619</v>
      </c>
      <c r="I117" s="4" t="s">
        <v>768</v>
      </c>
      <c r="J117">
        <v>19300</v>
      </c>
    </row>
    <row r="118" spans="1:10" x14ac:dyDescent="0.25">
      <c r="A118" s="4" t="s">
        <v>769</v>
      </c>
      <c r="B118" s="4" t="s">
        <v>770</v>
      </c>
      <c r="C118" s="4" t="s">
        <v>771</v>
      </c>
      <c r="D118" s="4" t="s">
        <v>491</v>
      </c>
      <c r="E118" s="4" t="s">
        <v>506</v>
      </c>
      <c r="F118">
        <v>4280</v>
      </c>
      <c r="G118" s="4" t="s">
        <v>313</v>
      </c>
      <c r="H118" s="4" t="s">
        <v>396</v>
      </c>
      <c r="I118" s="4" t="s">
        <v>772</v>
      </c>
      <c r="J118">
        <v>1040</v>
      </c>
    </row>
    <row r="119" spans="1:10" x14ac:dyDescent="0.25">
      <c r="A119" s="4" t="s">
        <v>773</v>
      </c>
      <c r="B119" s="4" t="s">
        <v>774</v>
      </c>
      <c r="C119" s="4" t="s">
        <v>775</v>
      </c>
      <c r="D119" s="4" t="s">
        <v>67</v>
      </c>
      <c r="E119" s="4" t="s">
        <v>574</v>
      </c>
      <c r="F119">
        <v>15400</v>
      </c>
      <c r="G119" s="4" t="s">
        <v>776</v>
      </c>
      <c r="H119" s="4" t="s">
        <v>777</v>
      </c>
      <c r="I119" s="4" t="s">
        <v>778</v>
      </c>
      <c r="J119">
        <v>8080</v>
      </c>
    </row>
    <row r="120" spans="1:10" x14ac:dyDescent="0.25">
      <c r="A120" s="4" t="s">
        <v>779</v>
      </c>
      <c r="B120" s="4" t="s">
        <v>392</v>
      </c>
      <c r="C120" s="4" t="s">
        <v>592</v>
      </c>
      <c r="D120" s="4" t="s">
        <v>218</v>
      </c>
      <c r="E120" s="4" t="s">
        <v>780</v>
      </c>
      <c r="F120">
        <v>7290</v>
      </c>
      <c r="G120" s="4" t="s">
        <v>622</v>
      </c>
      <c r="H120" s="4" t="s">
        <v>373</v>
      </c>
      <c r="I120" s="4" t="s">
        <v>781</v>
      </c>
      <c r="J120">
        <v>3230</v>
      </c>
    </row>
    <row r="121" spans="1:10" x14ac:dyDescent="0.25">
      <c r="A121" s="4" t="s">
        <v>782</v>
      </c>
      <c r="B121" s="4" t="s">
        <v>783</v>
      </c>
      <c r="C121" s="4" t="s">
        <v>784</v>
      </c>
      <c r="D121" s="4" t="s">
        <v>785</v>
      </c>
      <c r="E121" s="4" t="s">
        <v>156</v>
      </c>
      <c r="F121">
        <v>9960</v>
      </c>
      <c r="G121" s="4" t="s">
        <v>419</v>
      </c>
      <c r="H121" s="4" t="s">
        <v>663</v>
      </c>
      <c r="I121" s="4" t="s">
        <v>786</v>
      </c>
      <c r="J121">
        <v>5020</v>
      </c>
    </row>
    <row r="122" spans="1:10" x14ac:dyDescent="0.25">
      <c r="A122" s="4" t="s">
        <v>787</v>
      </c>
      <c r="B122" s="4" t="s">
        <v>788</v>
      </c>
      <c r="C122" s="4" t="s">
        <v>789</v>
      </c>
      <c r="D122" s="4" t="s">
        <v>790</v>
      </c>
      <c r="E122" s="4" t="s">
        <v>791</v>
      </c>
      <c r="F122">
        <v>5600</v>
      </c>
      <c r="G122" s="4" t="s">
        <v>792</v>
      </c>
      <c r="H122" s="4" t="s">
        <v>548</v>
      </c>
      <c r="I122" s="4" t="s">
        <v>793</v>
      </c>
      <c r="J122">
        <v>2130</v>
      </c>
    </row>
    <row r="123" spans="1:10" x14ac:dyDescent="0.25">
      <c r="A123" s="4" t="s">
        <v>794</v>
      </c>
      <c r="B123" s="4" t="s">
        <v>482</v>
      </c>
      <c r="C123" s="4" t="s">
        <v>795</v>
      </c>
      <c r="D123" s="4" t="s">
        <v>796</v>
      </c>
      <c r="E123" s="4" t="s">
        <v>618</v>
      </c>
      <c r="F123">
        <v>21800</v>
      </c>
      <c r="G123" s="4" t="s">
        <v>797</v>
      </c>
      <c r="H123" s="4" t="s">
        <v>38</v>
      </c>
      <c r="I123" s="4" t="s">
        <v>798</v>
      </c>
      <c r="J123">
        <v>12600</v>
      </c>
    </row>
    <row r="124" spans="1:10" x14ac:dyDescent="0.25">
      <c r="A124" s="4" t="s">
        <v>799</v>
      </c>
      <c r="B124" s="4" t="s">
        <v>437</v>
      </c>
      <c r="C124" s="4" t="s">
        <v>555</v>
      </c>
      <c r="D124" s="4" t="s">
        <v>90</v>
      </c>
      <c r="E124" s="4" t="s">
        <v>401</v>
      </c>
      <c r="F124">
        <v>27200</v>
      </c>
      <c r="G124" s="4" t="s">
        <v>800</v>
      </c>
      <c r="H124" s="4" t="s">
        <v>601</v>
      </c>
      <c r="I124" s="4" t="s">
        <v>429</v>
      </c>
      <c r="J124">
        <v>22500</v>
      </c>
    </row>
    <row r="125" spans="1:10" x14ac:dyDescent="0.25">
      <c r="A125" s="4" t="s">
        <v>801</v>
      </c>
      <c r="B125" s="4" t="s">
        <v>802</v>
      </c>
      <c r="C125" s="4" t="s">
        <v>50</v>
      </c>
      <c r="D125" s="4" t="s">
        <v>803</v>
      </c>
      <c r="E125" s="4" t="s">
        <v>156</v>
      </c>
      <c r="F125">
        <v>125000</v>
      </c>
      <c r="G125" s="4" t="s">
        <v>804</v>
      </c>
      <c r="H125" s="4" t="s">
        <v>346</v>
      </c>
      <c r="I125" s="4" t="s">
        <v>805</v>
      </c>
      <c r="J125">
        <v>70300</v>
      </c>
    </row>
    <row r="126" spans="1:10" x14ac:dyDescent="0.25">
      <c r="A126" s="4" t="s">
        <v>806</v>
      </c>
      <c r="B126" s="4" t="s">
        <v>807</v>
      </c>
      <c r="C126" s="4" t="s">
        <v>808</v>
      </c>
      <c r="D126" s="4" t="s">
        <v>809</v>
      </c>
      <c r="E126" s="4" t="s">
        <v>810</v>
      </c>
      <c r="F126">
        <v>17800</v>
      </c>
      <c r="G126" s="4" t="s">
        <v>811</v>
      </c>
      <c r="H126" s="4" t="s">
        <v>812</v>
      </c>
      <c r="I126" s="4" t="s">
        <v>283</v>
      </c>
      <c r="J126">
        <v>8230</v>
      </c>
    </row>
    <row r="127" spans="1:10" x14ac:dyDescent="0.25">
      <c r="A127" s="4" t="s">
        <v>813</v>
      </c>
      <c r="B127" s="4" t="s">
        <v>26</v>
      </c>
      <c r="C127" s="4" t="s">
        <v>814</v>
      </c>
      <c r="D127" s="4" t="s">
        <v>785</v>
      </c>
      <c r="E127" s="4" t="s">
        <v>545</v>
      </c>
      <c r="F127">
        <v>23100</v>
      </c>
      <c r="G127" s="4" t="s">
        <v>125</v>
      </c>
      <c r="H127" s="4" t="s">
        <v>815</v>
      </c>
      <c r="I127" s="4" t="s">
        <v>210</v>
      </c>
      <c r="J127">
        <v>10700</v>
      </c>
    </row>
    <row r="128" spans="1:10" x14ac:dyDescent="0.25">
      <c r="A128" s="4" t="s">
        <v>816</v>
      </c>
      <c r="B128" s="4" t="s">
        <v>737</v>
      </c>
      <c r="C128" s="4" t="s">
        <v>817</v>
      </c>
      <c r="D128" s="4" t="s">
        <v>197</v>
      </c>
      <c r="E128" s="4" t="s">
        <v>818</v>
      </c>
      <c r="F128">
        <v>1350</v>
      </c>
      <c r="G128" s="4" t="s">
        <v>500</v>
      </c>
      <c r="H128" s="4" t="s">
        <v>819</v>
      </c>
      <c r="I128" s="4" t="s">
        <v>293</v>
      </c>
      <c r="J128">
        <v>563</v>
      </c>
    </row>
    <row r="129" spans="1:10" x14ac:dyDescent="0.25">
      <c r="A129" s="4" t="s">
        <v>820</v>
      </c>
      <c r="B129" s="4" t="s">
        <v>66</v>
      </c>
      <c r="C129" s="4" t="s">
        <v>814</v>
      </c>
      <c r="D129" s="4" t="s">
        <v>821</v>
      </c>
      <c r="E129" s="4" t="s">
        <v>649</v>
      </c>
      <c r="F129">
        <v>5400</v>
      </c>
      <c r="G129" s="4" t="s">
        <v>390</v>
      </c>
      <c r="H129" s="4" t="s">
        <v>822</v>
      </c>
      <c r="I129" s="4" t="s">
        <v>823</v>
      </c>
      <c r="J129">
        <v>3450</v>
      </c>
    </row>
    <row r="130" spans="1:10" x14ac:dyDescent="0.25">
      <c r="A130" s="4" t="s">
        <v>824</v>
      </c>
      <c r="B130" s="4" t="s">
        <v>277</v>
      </c>
      <c r="C130" s="4" t="s">
        <v>301</v>
      </c>
      <c r="D130" s="4" t="s">
        <v>554</v>
      </c>
      <c r="E130" s="4" t="s">
        <v>825</v>
      </c>
      <c r="F130">
        <v>45400</v>
      </c>
      <c r="G130" s="4" t="s">
        <v>692</v>
      </c>
      <c r="H130" s="4" t="s">
        <v>387</v>
      </c>
      <c r="I130" s="4" t="s">
        <v>826</v>
      </c>
      <c r="J130">
        <v>19300</v>
      </c>
    </row>
    <row r="131" spans="1:10" x14ac:dyDescent="0.25">
      <c r="A131" s="4" t="s">
        <v>827</v>
      </c>
      <c r="B131" s="4" t="s">
        <v>723</v>
      </c>
      <c r="C131" s="4" t="s">
        <v>378</v>
      </c>
      <c r="D131" s="4" t="s">
        <v>828</v>
      </c>
      <c r="E131" s="4" t="s">
        <v>829</v>
      </c>
      <c r="F131">
        <v>2180</v>
      </c>
      <c r="G131" s="4" t="s">
        <v>830</v>
      </c>
      <c r="H131" s="4" t="s">
        <v>831</v>
      </c>
      <c r="I131" s="4" t="s">
        <v>832</v>
      </c>
      <c r="J131">
        <v>1000</v>
      </c>
    </row>
    <row r="132" spans="1:10" x14ac:dyDescent="0.25">
      <c r="A132" s="4" t="s">
        <v>833</v>
      </c>
      <c r="B132" s="4" t="s">
        <v>834</v>
      </c>
      <c r="C132" s="4" t="s">
        <v>523</v>
      </c>
      <c r="D132" s="4" t="s">
        <v>632</v>
      </c>
      <c r="E132" s="4" t="s">
        <v>835</v>
      </c>
      <c r="F132">
        <v>12700</v>
      </c>
      <c r="G132" s="4" t="s">
        <v>97</v>
      </c>
      <c r="H132" s="4" t="s">
        <v>143</v>
      </c>
      <c r="I132" s="4" t="s">
        <v>181</v>
      </c>
      <c r="J132">
        <v>5410</v>
      </c>
    </row>
    <row r="133" spans="1:10" x14ac:dyDescent="0.25">
      <c r="A133" s="4" t="s">
        <v>836</v>
      </c>
      <c r="B133" s="4" t="s">
        <v>837</v>
      </c>
      <c r="C133" s="4" t="s">
        <v>838</v>
      </c>
      <c r="D133" s="4" t="s">
        <v>335</v>
      </c>
      <c r="E133" s="4" t="s">
        <v>233</v>
      </c>
      <c r="F133">
        <v>20400</v>
      </c>
      <c r="G133" s="4" t="s">
        <v>839</v>
      </c>
      <c r="H133" s="4" t="s">
        <v>684</v>
      </c>
      <c r="I133" s="4" t="s">
        <v>537</v>
      </c>
      <c r="J133">
        <v>10800</v>
      </c>
    </row>
    <row r="134" spans="1:10" x14ac:dyDescent="0.25">
      <c r="A134" s="4" t="s">
        <v>840</v>
      </c>
      <c r="B134" s="4" t="s">
        <v>841</v>
      </c>
      <c r="C134" s="4" t="s">
        <v>842</v>
      </c>
      <c r="D134" s="4" t="s">
        <v>843</v>
      </c>
      <c r="E134" s="4" t="s">
        <v>844</v>
      </c>
      <c r="F134">
        <v>1220</v>
      </c>
      <c r="G134" s="4" t="s">
        <v>692</v>
      </c>
      <c r="H134" s="4" t="s">
        <v>845</v>
      </c>
      <c r="I134" s="4" t="s">
        <v>149</v>
      </c>
      <c r="J134">
        <v>399</v>
      </c>
    </row>
    <row r="135" spans="1:10" x14ac:dyDescent="0.25">
      <c r="A135" s="4" t="s">
        <v>846</v>
      </c>
      <c r="B135" s="4" t="s">
        <v>627</v>
      </c>
      <c r="C135" s="4" t="s">
        <v>847</v>
      </c>
      <c r="D135" s="4" t="s">
        <v>848</v>
      </c>
      <c r="E135" s="4" t="s">
        <v>849</v>
      </c>
      <c r="F135">
        <v>72100</v>
      </c>
      <c r="G135" s="4" t="s">
        <v>850</v>
      </c>
      <c r="H135" s="4" t="s">
        <v>851</v>
      </c>
      <c r="I135" s="4" t="s">
        <v>852</v>
      </c>
      <c r="J135">
        <v>46600</v>
      </c>
    </row>
    <row r="136" spans="1:10" x14ac:dyDescent="0.25">
      <c r="A136" s="4" t="s">
        <v>853</v>
      </c>
      <c r="B136" s="4" t="s">
        <v>854</v>
      </c>
      <c r="C136" s="4" t="s">
        <v>38</v>
      </c>
      <c r="D136" s="4" t="s">
        <v>643</v>
      </c>
      <c r="E136" s="4" t="s">
        <v>777</v>
      </c>
      <c r="F136">
        <v>25200</v>
      </c>
      <c r="G136" s="4" t="s">
        <v>855</v>
      </c>
      <c r="H136" s="4" t="s">
        <v>856</v>
      </c>
      <c r="I136" s="4" t="s">
        <v>857</v>
      </c>
      <c r="J136">
        <v>16600</v>
      </c>
    </row>
    <row r="137" spans="1:10" x14ac:dyDescent="0.25">
      <c r="A137" s="4" t="s">
        <v>858</v>
      </c>
      <c r="B137" s="4" t="s">
        <v>176</v>
      </c>
      <c r="C137" s="4" t="s">
        <v>859</v>
      </c>
      <c r="D137" s="4" t="s">
        <v>860</v>
      </c>
      <c r="E137" s="4" t="s">
        <v>338</v>
      </c>
      <c r="F137">
        <v>28700</v>
      </c>
      <c r="G137" s="4" t="s">
        <v>861</v>
      </c>
      <c r="H137" s="4" t="s">
        <v>346</v>
      </c>
      <c r="I137" s="4" t="s">
        <v>210</v>
      </c>
      <c r="J137">
        <v>23400</v>
      </c>
    </row>
    <row r="138" spans="1:10" x14ac:dyDescent="0.25">
      <c r="A138" s="4" t="s">
        <v>862</v>
      </c>
      <c r="B138" s="4" t="s">
        <v>407</v>
      </c>
      <c r="C138" s="4" t="s">
        <v>584</v>
      </c>
      <c r="D138" s="4" t="s">
        <v>422</v>
      </c>
      <c r="E138" s="4" t="s">
        <v>863</v>
      </c>
      <c r="F138">
        <v>1780</v>
      </c>
      <c r="G138" s="4" t="s">
        <v>216</v>
      </c>
      <c r="H138" s="4" t="s">
        <v>384</v>
      </c>
      <c r="I138" s="4" t="s">
        <v>864</v>
      </c>
      <c r="J138">
        <v>1290</v>
      </c>
    </row>
    <row r="139" spans="1:10" x14ac:dyDescent="0.25">
      <c r="A139" s="4" t="s">
        <v>865</v>
      </c>
      <c r="B139" s="4" t="s">
        <v>590</v>
      </c>
      <c r="C139" s="4" t="s">
        <v>866</v>
      </c>
      <c r="D139" s="4" t="s">
        <v>867</v>
      </c>
      <c r="E139" s="4" t="s">
        <v>868</v>
      </c>
      <c r="F139">
        <v>12000</v>
      </c>
      <c r="G139" s="4" t="s">
        <v>869</v>
      </c>
      <c r="H139" s="4" t="s">
        <v>96</v>
      </c>
      <c r="I139" s="4" t="s">
        <v>776</v>
      </c>
      <c r="J139">
        <v>7280</v>
      </c>
    </row>
    <row r="140" spans="1:10" x14ac:dyDescent="0.25">
      <c r="A140" s="4" t="s">
        <v>870</v>
      </c>
      <c r="B140" s="4" t="s">
        <v>157</v>
      </c>
      <c r="C140" s="4" t="s">
        <v>118</v>
      </c>
      <c r="D140" s="4" t="s">
        <v>871</v>
      </c>
      <c r="E140" s="4" t="s">
        <v>714</v>
      </c>
      <c r="F140">
        <v>30400</v>
      </c>
      <c r="G140" s="4" t="s">
        <v>793</v>
      </c>
      <c r="H140" s="4" t="s">
        <v>428</v>
      </c>
      <c r="I140" s="4" t="s">
        <v>872</v>
      </c>
      <c r="J140">
        <v>22100</v>
      </c>
    </row>
    <row r="141" spans="1:10" x14ac:dyDescent="0.25">
      <c r="A141" s="4" t="s">
        <v>873</v>
      </c>
      <c r="B141" s="4" t="s">
        <v>689</v>
      </c>
      <c r="C141" s="4" t="s">
        <v>874</v>
      </c>
      <c r="D141" s="4" t="s">
        <v>875</v>
      </c>
      <c r="E141" s="4" t="s">
        <v>405</v>
      </c>
      <c r="F141">
        <v>32500</v>
      </c>
      <c r="G141" s="4" t="s">
        <v>876</v>
      </c>
      <c r="H141" s="4" t="s">
        <v>877</v>
      </c>
      <c r="I141" s="4" t="s">
        <v>878</v>
      </c>
      <c r="J141">
        <v>30700</v>
      </c>
    </row>
    <row r="142" spans="1:10" x14ac:dyDescent="0.25">
      <c r="A142" s="4" t="s">
        <v>879</v>
      </c>
      <c r="B142" s="4" t="s">
        <v>573</v>
      </c>
      <c r="C142" s="4" t="s">
        <v>880</v>
      </c>
      <c r="D142" s="4" t="s">
        <v>881</v>
      </c>
      <c r="E142" s="4" t="s">
        <v>405</v>
      </c>
      <c r="F142">
        <v>8560</v>
      </c>
      <c r="G142" s="4" t="s">
        <v>646</v>
      </c>
      <c r="H142" s="4" t="s">
        <v>882</v>
      </c>
      <c r="I142" s="4" t="s">
        <v>491</v>
      </c>
      <c r="J142">
        <v>2810</v>
      </c>
    </row>
    <row r="143" spans="1:10" x14ac:dyDescent="0.25">
      <c r="A143" s="4" t="s">
        <v>883</v>
      </c>
      <c r="B143" s="4" t="s">
        <v>98</v>
      </c>
      <c r="C143" s="4" t="s">
        <v>370</v>
      </c>
      <c r="D143" s="4" t="s">
        <v>583</v>
      </c>
      <c r="E143" s="4" t="s">
        <v>188</v>
      </c>
      <c r="F143">
        <v>9920</v>
      </c>
      <c r="G143" s="4" t="s">
        <v>884</v>
      </c>
      <c r="H143" s="4" t="s">
        <v>175</v>
      </c>
      <c r="I143" s="4" t="s">
        <v>805</v>
      </c>
      <c r="J143">
        <v>6230</v>
      </c>
    </row>
    <row r="144" spans="1:10" x14ac:dyDescent="0.25">
      <c r="A144" s="4" t="s">
        <v>885</v>
      </c>
      <c r="B144" s="4" t="s">
        <v>130</v>
      </c>
      <c r="C144" s="4" t="s">
        <v>774</v>
      </c>
      <c r="D144" s="4" t="s">
        <v>886</v>
      </c>
      <c r="E144" s="4" t="s">
        <v>692</v>
      </c>
      <c r="F144">
        <v>3370</v>
      </c>
      <c r="G144" s="4" t="s">
        <v>880</v>
      </c>
      <c r="H144" s="4" t="s">
        <v>887</v>
      </c>
      <c r="I144" s="4" t="s">
        <v>888</v>
      </c>
      <c r="J144">
        <v>1480</v>
      </c>
    </row>
    <row r="145" spans="1:10" x14ac:dyDescent="0.25">
      <c r="A145" s="4" t="s">
        <v>889</v>
      </c>
      <c r="B145" s="4" t="s">
        <v>392</v>
      </c>
      <c r="C145" s="4" t="s">
        <v>184</v>
      </c>
      <c r="D145" s="4" t="s">
        <v>890</v>
      </c>
      <c r="E145" s="4" t="s">
        <v>42</v>
      </c>
      <c r="F145">
        <v>14200</v>
      </c>
      <c r="G145" s="4" t="s">
        <v>891</v>
      </c>
      <c r="H145" s="4" t="s">
        <v>892</v>
      </c>
      <c r="I145" s="4" t="s">
        <v>893</v>
      </c>
      <c r="J145">
        <v>8300</v>
      </c>
    </row>
    <row r="146" spans="1:10" x14ac:dyDescent="0.25">
      <c r="A146" s="4" t="s">
        <v>894</v>
      </c>
      <c r="B146" s="4" t="s">
        <v>398</v>
      </c>
      <c r="C146" s="4" t="s">
        <v>714</v>
      </c>
      <c r="D146" s="4" t="s">
        <v>895</v>
      </c>
      <c r="E146" s="4" t="s">
        <v>896</v>
      </c>
      <c r="F146">
        <v>42900</v>
      </c>
      <c r="G146" s="4" t="s">
        <v>897</v>
      </c>
      <c r="H146" s="4" t="s">
        <v>898</v>
      </c>
      <c r="I146" s="4" t="s">
        <v>899</v>
      </c>
      <c r="J146">
        <v>52100</v>
      </c>
    </row>
    <row r="147" spans="1:10" x14ac:dyDescent="0.25">
      <c r="A147" s="4" t="s">
        <v>900</v>
      </c>
      <c r="B147" s="4" t="s">
        <v>140</v>
      </c>
      <c r="C147" s="4" t="s">
        <v>831</v>
      </c>
      <c r="D147" s="4" t="s">
        <v>807</v>
      </c>
      <c r="E147" s="4" t="s">
        <v>901</v>
      </c>
      <c r="F147">
        <v>55500</v>
      </c>
      <c r="G147" s="4" t="s">
        <v>902</v>
      </c>
      <c r="H147" s="4" t="s">
        <v>903</v>
      </c>
      <c r="I147" s="4" t="s">
        <v>566</v>
      </c>
      <c r="J147">
        <v>74600</v>
      </c>
    </row>
    <row r="148" spans="1:10" x14ac:dyDescent="0.25">
      <c r="A148" s="4" t="s">
        <v>904</v>
      </c>
      <c r="B148" s="4" t="s">
        <v>905</v>
      </c>
      <c r="C148" s="4" t="s">
        <v>465</v>
      </c>
      <c r="D148" s="4" t="s">
        <v>906</v>
      </c>
      <c r="E148" s="4" t="s">
        <v>728</v>
      </c>
      <c r="F148">
        <v>2110</v>
      </c>
      <c r="G148" s="4" t="s">
        <v>907</v>
      </c>
      <c r="H148" s="4" t="s">
        <v>908</v>
      </c>
      <c r="I148" s="4" t="s">
        <v>909</v>
      </c>
      <c r="J148">
        <v>738</v>
      </c>
    </row>
    <row r="149" spans="1:10" x14ac:dyDescent="0.25">
      <c r="A149" s="4" t="s">
        <v>910</v>
      </c>
      <c r="B149" s="4" t="s">
        <v>911</v>
      </c>
      <c r="C149" s="4" t="s">
        <v>912</v>
      </c>
      <c r="D149" s="4" t="s">
        <v>913</v>
      </c>
      <c r="E149" s="4" t="s">
        <v>242</v>
      </c>
      <c r="F149">
        <v>2090</v>
      </c>
      <c r="G149" s="4" t="s">
        <v>914</v>
      </c>
      <c r="H149" s="4" t="s">
        <v>915</v>
      </c>
      <c r="I149" s="4" t="s">
        <v>916</v>
      </c>
      <c r="J149">
        <v>702</v>
      </c>
    </row>
    <row r="150" spans="1:10" x14ac:dyDescent="0.25">
      <c r="A150" s="4" t="s">
        <v>917</v>
      </c>
      <c r="B150" s="4" t="s">
        <v>465</v>
      </c>
      <c r="C150" s="4" t="s">
        <v>918</v>
      </c>
      <c r="D150" s="4" t="s">
        <v>617</v>
      </c>
      <c r="E150" s="4" t="s">
        <v>613</v>
      </c>
      <c r="F150">
        <v>13500</v>
      </c>
      <c r="G150" s="4" t="s">
        <v>414</v>
      </c>
      <c r="H150" s="4" t="s">
        <v>919</v>
      </c>
      <c r="I150" s="4" t="s">
        <v>328</v>
      </c>
      <c r="J150">
        <v>5080</v>
      </c>
    </row>
    <row r="151" spans="1:10" x14ac:dyDescent="0.25">
      <c r="A151" s="4" t="s">
        <v>920</v>
      </c>
      <c r="B151" s="4" t="s">
        <v>921</v>
      </c>
      <c r="C151" s="4" t="s">
        <v>491</v>
      </c>
      <c r="D151" s="4" t="s">
        <v>922</v>
      </c>
      <c r="E151" s="4" t="s">
        <v>784</v>
      </c>
      <c r="F151">
        <v>1850</v>
      </c>
      <c r="G151" s="4" t="s">
        <v>249</v>
      </c>
      <c r="H151" s="4" t="s">
        <v>923</v>
      </c>
      <c r="I151" s="4" t="s">
        <v>924</v>
      </c>
      <c r="J151">
        <v>3600</v>
      </c>
    </row>
    <row r="152" spans="1:10" x14ac:dyDescent="0.25">
      <c r="A152" s="4" t="s">
        <v>925</v>
      </c>
      <c r="B152" s="4" t="s">
        <v>926</v>
      </c>
      <c r="C152" s="4" t="s">
        <v>927</v>
      </c>
      <c r="D152" s="4" t="s">
        <v>928</v>
      </c>
      <c r="E152" s="4" t="s">
        <v>238</v>
      </c>
      <c r="F152">
        <v>1210</v>
      </c>
      <c r="G152" s="4" t="s">
        <v>929</v>
      </c>
      <c r="H152" s="4" t="s">
        <v>930</v>
      </c>
      <c r="I152" s="4" t="s">
        <v>931</v>
      </c>
      <c r="J152">
        <v>488</v>
      </c>
    </row>
    <row r="153" spans="1:10" x14ac:dyDescent="0.25">
      <c r="A153" s="4" t="s">
        <v>932</v>
      </c>
      <c r="B153" s="4" t="s">
        <v>754</v>
      </c>
      <c r="C153" s="4" t="s">
        <v>933</v>
      </c>
      <c r="D153" s="4" t="s">
        <v>279</v>
      </c>
      <c r="E153" s="4" t="s">
        <v>934</v>
      </c>
      <c r="F153">
        <v>4980</v>
      </c>
      <c r="G153" s="4" t="s">
        <v>935</v>
      </c>
      <c r="H153" s="4" t="s">
        <v>501</v>
      </c>
      <c r="I153" s="4" t="s">
        <v>936</v>
      </c>
      <c r="J153">
        <v>3550</v>
      </c>
    </row>
    <row r="154" spans="1:10" x14ac:dyDescent="0.25">
      <c r="A154" s="4" t="s">
        <v>937</v>
      </c>
      <c r="B154" s="4" t="s">
        <v>754</v>
      </c>
      <c r="C154" s="4" t="s">
        <v>343</v>
      </c>
      <c r="D154" s="4" t="s">
        <v>938</v>
      </c>
      <c r="E154" s="4" t="s">
        <v>939</v>
      </c>
      <c r="F154">
        <v>10400</v>
      </c>
      <c r="G154" s="4" t="s">
        <v>940</v>
      </c>
      <c r="H154" s="4" t="s">
        <v>941</v>
      </c>
      <c r="I154" s="4" t="s">
        <v>942</v>
      </c>
      <c r="J154">
        <v>4140</v>
      </c>
    </row>
    <row r="155" spans="1:10" x14ac:dyDescent="0.25">
      <c r="A155" s="4" t="s">
        <v>943</v>
      </c>
      <c r="B155" s="4" t="s">
        <v>611</v>
      </c>
      <c r="C155" s="4" t="s">
        <v>944</v>
      </c>
      <c r="D155" s="4" t="s">
        <v>214</v>
      </c>
      <c r="E155" s="4" t="s">
        <v>874</v>
      </c>
      <c r="F155">
        <v>18000</v>
      </c>
      <c r="G155" s="4" t="s">
        <v>890</v>
      </c>
      <c r="H155" s="4" t="s">
        <v>574</v>
      </c>
      <c r="I155" s="4" t="s">
        <v>657</v>
      </c>
      <c r="J155">
        <v>10700</v>
      </c>
    </row>
    <row r="156" spans="1:10" x14ac:dyDescent="0.25">
      <c r="A156" s="4" t="s">
        <v>945</v>
      </c>
      <c r="B156" s="4" t="s">
        <v>946</v>
      </c>
      <c r="C156" s="4" t="s">
        <v>38</v>
      </c>
      <c r="D156" s="4" t="s">
        <v>947</v>
      </c>
      <c r="E156" s="4" t="s">
        <v>948</v>
      </c>
      <c r="F156">
        <v>9940</v>
      </c>
      <c r="G156" s="4" t="s">
        <v>949</v>
      </c>
      <c r="H156" s="4" t="s">
        <v>950</v>
      </c>
      <c r="I156" s="4" t="s">
        <v>951</v>
      </c>
      <c r="J156">
        <v>4440</v>
      </c>
    </row>
    <row r="157" spans="1:10" x14ac:dyDescent="0.25">
      <c r="A157" s="4" t="s">
        <v>952</v>
      </c>
      <c r="B157" s="4" t="s">
        <v>688</v>
      </c>
      <c r="C157" s="4" t="s">
        <v>953</v>
      </c>
      <c r="D157" s="4" t="s">
        <v>191</v>
      </c>
      <c r="E157" s="4" t="s">
        <v>866</v>
      </c>
      <c r="F157">
        <v>1540</v>
      </c>
      <c r="G157" s="4" t="s">
        <v>954</v>
      </c>
      <c r="H157" s="4" t="s">
        <v>955</v>
      </c>
      <c r="I157" s="4" t="s">
        <v>956</v>
      </c>
      <c r="J157">
        <v>595</v>
      </c>
    </row>
    <row r="158" spans="1:10" x14ac:dyDescent="0.25">
      <c r="A158" s="4" t="s">
        <v>957</v>
      </c>
      <c r="B158" s="4" t="s">
        <v>693</v>
      </c>
      <c r="C158" s="4" t="s">
        <v>958</v>
      </c>
      <c r="D158" s="4" t="s">
        <v>959</v>
      </c>
      <c r="E158" s="4" t="s">
        <v>960</v>
      </c>
      <c r="F158">
        <v>7820</v>
      </c>
      <c r="G158" s="4" t="s">
        <v>961</v>
      </c>
      <c r="H158" s="4" t="s">
        <v>122</v>
      </c>
      <c r="I158" s="4" t="s">
        <v>61</v>
      </c>
      <c r="J158">
        <v>2970</v>
      </c>
    </row>
    <row r="159" spans="1:10" x14ac:dyDescent="0.25">
      <c r="A159" s="4" t="s">
        <v>962</v>
      </c>
      <c r="B159" s="4" t="s">
        <v>110</v>
      </c>
      <c r="C159" s="4" t="s">
        <v>963</v>
      </c>
      <c r="D159" s="4" t="s">
        <v>550</v>
      </c>
      <c r="E159" s="4" t="s">
        <v>737</v>
      </c>
      <c r="F159">
        <v>57600</v>
      </c>
      <c r="G159" s="4" t="s">
        <v>907</v>
      </c>
      <c r="H159" s="4" t="s">
        <v>46</v>
      </c>
      <c r="I159" s="4" t="s">
        <v>347</v>
      </c>
      <c r="J159">
        <v>35000</v>
      </c>
    </row>
    <row r="160" spans="1:10" x14ac:dyDescent="0.25">
      <c r="A160" s="4" t="s">
        <v>964</v>
      </c>
      <c r="B160" s="4" t="s">
        <v>149</v>
      </c>
      <c r="C160" s="4" t="s">
        <v>965</v>
      </c>
      <c r="D160" s="4" t="s">
        <v>966</v>
      </c>
      <c r="E160" s="4" t="s">
        <v>967</v>
      </c>
      <c r="F160">
        <v>36200</v>
      </c>
      <c r="G160" s="4" t="s">
        <v>210</v>
      </c>
      <c r="H160" s="4" t="s">
        <v>416</v>
      </c>
      <c r="I160" s="4" t="s">
        <v>101</v>
      </c>
      <c r="J160">
        <v>38900</v>
      </c>
    </row>
    <row r="161" spans="1:10" x14ac:dyDescent="0.25">
      <c r="A161" s="4" t="s">
        <v>968</v>
      </c>
      <c r="B161" s="4" t="s">
        <v>969</v>
      </c>
      <c r="C161" s="4" t="s">
        <v>933</v>
      </c>
      <c r="D161" s="4" t="s">
        <v>970</v>
      </c>
      <c r="E161" s="4" t="s">
        <v>971</v>
      </c>
      <c r="F161">
        <v>49400</v>
      </c>
      <c r="G161" s="4" t="s">
        <v>972</v>
      </c>
      <c r="H161" s="4" t="s">
        <v>973</v>
      </c>
      <c r="I161" s="4" t="s">
        <v>86</v>
      </c>
      <c r="J161">
        <v>48400</v>
      </c>
    </row>
    <row r="162" spans="1:10" x14ac:dyDescent="0.25">
      <c r="A162" s="4" t="s">
        <v>974</v>
      </c>
      <c r="B162" s="4" t="s">
        <v>954</v>
      </c>
      <c r="C162" s="4" t="s">
        <v>278</v>
      </c>
      <c r="D162" s="4" t="s">
        <v>975</v>
      </c>
      <c r="E162" s="4" t="s">
        <v>976</v>
      </c>
      <c r="F162">
        <v>17100</v>
      </c>
      <c r="G162" s="4" t="s">
        <v>977</v>
      </c>
      <c r="H162" s="4" t="s">
        <v>141</v>
      </c>
      <c r="I162" s="4" t="s">
        <v>978</v>
      </c>
      <c r="J162">
        <v>11900</v>
      </c>
    </row>
    <row r="163" spans="1:10" x14ac:dyDescent="0.25">
      <c r="A163" s="4" t="s">
        <v>979</v>
      </c>
      <c r="B163" s="4" t="s">
        <v>453</v>
      </c>
      <c r="C163" s="4" t="s">
        <v>980</v>
      </c>
      <c r="D163" s="4" t="s">
        <v>981</v>
      </c>
      <c r="E163" s="4" t="s">
        <v>761</v>
      </c>
      <c r="F163">
        <v>4240</v>
      </c>
      <c r="G163" s="4" t="s">
        <v>292</v>
      </c>
      <c r="H163" s="4" t="s">
        <v>982</v>
      </c>
      <c r="I163" s="4" t="s">
        <v>983</v>
      </c>
      <c r="J163">
        <v>1380</v>
      </c>
    </row>
    <row r="164" spans="1:10" x14ac:dyDescent="0.25">
      <c r="A164" s="4" t="s">
        <v>984</v>
      </c>
      <c r="B164" s="4" t="s">
        <v>814</v>
      </c>
      <c r="C164" s="4" t="s">
        <v>170</v>
      </c>
      <c r="D164" s="4" t="s">
        <v>732</v>
      </c>
      <c r="E164" s="4" t="s">
        <v>985</v>
      </c>
      <c r="F164">
        <v>2950</v>
      </c>
      <c r="G164" s="4" t="s">
        <v>778</v>
      </c>
      <c r="H164" s="4" t="s">
        <v>986</v>
      </c>
      <c r="I164" s="4" t="s">
        <v>413</v>
      </c>
      <c r="J164">
        <v>2970</v>
      </c>
    </row>
    <row r="165" spans="1:10" x14ac:dyDescent="0.25">
      <c r="A165" s="4" t="s">
        <v>987</v>
      </c>
      <c r="B165" s="4" t="s">
        <v>953</v>
      </c>
      <c r="C165" s="4" t="s">
        <v>761</v>
      </c>
      <c r="D165" s="4" t="s">
        <v>977</v>
      </c>
      <c r="E165" s="4" t="s">
        <v>988</v>
      </c>
      <c r="F165">
        <v>16500</v>
      </c>
      <c r="G165" s="4" t="s">
        <v>433</v>
      </c>
      <c r="H165" s="4" t="s">
        <v>989</v>
      </c>
      <c r="I165" s="4" t="s">
        <v>990</v>
      </c>
      <c r="J165">
        <v>13500</v>
      </c>
    </row>
    <row r="166" spans="1:10" x14ac:dyDescent="0.25">
      <c r="A166" s="4" t="s">
        <v>991</v>
      </c>
      <c r="B166" s="4" t="s">
        <v>383</v>
      </c>
      <c r="C166" s="4" t="s">
        <v>736</v>
      </c>
      <c r="D166" s="4" t="s">
        <v>992</v>
      </c>
      <c r="E166" s="4" t="s">
        <v>993</v>
      </c>
      <c r="F166">
        <v>4490</v>
      </c>
      <c r="G166" s="4" t="s">
        <v>648</v>
      </c>
      <c r="H166" s="4" t="s">
        <v>594</v>
      </c>
      <c r="I166" s="4" t="s">
        <v>763</v>
      </c>
      <c r="J166">
        <v>1310</v>
      </c>
    </row>
    <row r="167" spans="1:10" x14ac:dyDescent="0.25">
      <c r="A167" s="4" t="s">
        <v>994</v>
      </c>
      <c r="B167" s="4" t="s">
        <v>321</v>
      </c>
      <c r="C167" s="4" t="s">
        <v>818</v>
      </c>
      <c r="D167" s="4" t="s">
        <v>995</v>
      </c>
      <c r="E167" s="4" t="s">
        <v>349</v>
      </c>
      <c r="F167">
        <v>4480</v>
      </c>
      <c r="G167" s="4" t="s">
        <v>996</v>
      </c>
      <c r="H167" s="4" t="s">
        <v>997</v>
      </c>
      <c r="I167" s="4" t="s">
        <v>998</v>
      </c>
      <c r="J167">
        <v>1310</v>
      </c>
    </row>
    <row r="168" spans="1:10" x14ac:dyDescent="0.25">
      <c r="A168" s="4" t="s">
        <v>999</v>
      </c>
      <c r="B168" s="4" t="s">
        <v>1000</v>
      </c>
      <c r="C168" s="4" t="s">
        <v>703</v>
      </c>
      <c r="D168" s="4" t="s">
        <v>1001</v>
      </c>
      <c r="E168" s="4" t="s">
        <v>1002</v>
      </c>
      <c r="F168">
        <v>3280</v>
      </c>
      <c r="G168" s="4" t="s">
        <v>1003</v>
      </c>
      <c r="H168" s="4" t="s">
        <v>1004</v>
      </c>
      <c r="I168" s="4" t="s">
        <v>1005</v>
      </c>
      <c r="J168">
        <v>1460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43AF-0FE6-43CE-9EB1-FD2CFB0E51A7}">
  <sheetPr codeName="Feuil3"/>
  <dimension ref="A1:B12"/>
  <sheetViews>
    <sheetView workbookViewId="0">
      <selection activeCell="A13" sqref="A13"/>
    </sheetView>
  </sheetViews>
  <sheetFormatPr baseColWidth="10" defaultRowHeight="15" x14ac:dyDescent="0.25"/>
  <cols>
    <col min="1" max="1" width="13.5703125" bestFit="1" customWidth="1"/>
    <col min="2" max="2" width="81.140625" bestFit="1" customWidth="1"/>
  </cols>
  <sheetData>
    <row r="1" spans="1:2" x14ac:dyDescent="0.25">
      <c r="A1" t="s">
        <v>1006</v>
      </c>
      <c r="B1" t="s">
        <v>1007</v>
      </c>
    </row>
    <row r="2" spans="1:2" x14ac:dyDescent="0.25">
      <c r="A2" s="4" t="s">
        <v>1008</v>
      </c>
      <c r="B2" s="4" t="s">
        <v>1009</v>
      </c>
    </row>
    <row r="3" spans="1:2" x14ac:dyDescent="0.25">
      <c r="A3" s="4" t="s">
        <v>14</v>
      </c>
      <c r="B3" s="4" t="s">
        <v>1010</v>
      </c>
    </row>
    <row r="4" spans="1:2" x14ac:dyDescent="0.25">
      <c r="A4" s="4" t="s">
        <v>15</v>
      </c>
      <c r="B4" s="4" t="s">
        <v>1011</v>
      </c>
    </row>
    <row r="5" spans="1:2" x14ac:dyDescent="0.25">
      <c r="A5" s="4" t="s">
        <v>16</v>
      </c>
      <c r="B5" s="4" t="s">
        <v>1012</v>
      </c>
    </row>
    <row r="6" spans="1:2" x14ac:dyDescent="0.25">
      <c r="A6" s="4" t="s">
        <v>17</v>
      </c>
      <c r="B6" s="4" t="s">
        <v>1013</v>
      </c>
    </row>
    <row r="7" spans="1:2" x14ac:dyDescent="0.25">
      <c r="A7" s="4" t="s">
        <v>18</v>
      </c>
      <c r="B7" s="4" t="s">
        <v>1014</v>
      </c>
    </row>
    <row r="8" spans="1:2" x14ac:dyDescent="0.25">
      <c r="A8" s="4" t="s">
        <v>1015</v>
      </c>
      <c r="B8" s="4" t="s">
        <v>1016</v>
      </c>
    </row>
    <row r="9" spans="1:2" x14ac:dyDescent="0.25">
      <c r="A9" s="4" t="s">
        <v>1017</v>
      </c>
      <c r="B9" s="4" t="s">
        <v>1018</v>
      </c>
    </row>
    <row r="10" spans="1:2" x14ac:dyDescent="0.25">
      <c r="A10" s="4" t="s">
        <v>21</v>
      </c>
      <c r="B10" s="4" t="s">
        <v>1019</v>
      </c>
    </row>
    <row r="11" spans="1:2" x14ac:dyDescent="0.25">
      <c r="A11" s="4" t="s">
        <v>22</v>
      </c>
      <c r="B11" s="4" t="s">
        <v>1020</v>
      </c>
    </row>
    <row r="12" spans="1:2" x14ac:dyDescent="0.25">
      <c r="A12" s="4" t="s">
        <v>23</v>
      </c>
      <c r="B12" s="4" t="s">
        <v>1021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C358A5-5A37-4C3D-8062-4090B9D3EF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Donnees</vt:lpstr>
      <vt:lpstr>Country-data</vt:lpstr>
      <vt:lpstr>data-dictionary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Hasin'Ny Ainasoa ANDRIAMANJATOHASA</dc:creator>
  <cp:lastModifiedBy>Diarinandrasana FANOMEZANA</cp:lastModifiedBy>
  <dcterms:created xsi:type="dcterms:W3CDTF">2025-08-22T10:06:37Z</dcterms:created>
  <dcterms:modified xsi:type="dcterms:W3CDTF">2026-07-14T08:40:52Z</dcterms:modified>
</cp:coreProperties>
</file>